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udeep\Downloads\Excel_chris\"/>
    </mc:Choice>
  </mc:AlternateContent>
  <xr:revisionPtr revIDLastSave="0" documentId="8_{F29F7581-A65A-4D5C-8FDD-13D1D8953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ookUp - Q" sheetId="26" r:id="rId1"/>
    <sheet name="XLookUp - Data" sheetId="27" r:id="rId2"/>
    <sheet name="SEQUENCE" sheetId="10" state="hidden" r:id="rId3"/>
    <sheet name="Challenge" sheetId="3" state="hidden" r:id="rId4"/>
    <sheet name="Loan Amortization Table" sheetId="18" state="hidden" r:id="rId5"/>
    <sheet name="MAX &amp; MIN IFS" sheetId="15" state="hidden" r:id="rId6"/>
    <sheet name="IFS" sheetId="16" state="hidden" r:id="rId7"/>
    <sheet name="Combining Text" sheetId="17" state="hidden" r:id="rId8"/>
    <sheet name="RANDARRAY" sheetId="5" state="hidden" r:id="rId9"/>
  </sheets>
  <definedNames>
    <definedName name="bac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6" l="1"/>
  <c r="J7" i="27" a="1"/>
  <c r="J7" i="27"/>
  <c r="J8" i="27" a="1"/>
  <c r="J8" i="27"/>
  <c r="J9" i="27" a="1"/>
  <c r="J9" i="27"/>
  <c r="J10" i="27" a="1"/>
  <c r="J10" i="27"/>
  <c r="J11" i="27" a="1"/>
  <c r="J11" i="27"/>
  <c r="J12" i="27" a="1"/>
  <c r="J12" i="27"/>
  <c r="J13" i="27" a="1"/>
  <c r="J13" i="27"/>
  <c r="J14" i="27" a="1"/>
  <c r="J14" i="27"/>
  <c r="J15" i="27" a="1"/>
  <c r="J15" i="27"/>
  <c r="J6" i="27" a="1"/>
  <c r="J6" i="27"/>
  <c r="C7" i="26"/>
  <c r="C8" i="26"/>
  <c r="C9" i="26"/>
  <c r="C10" i="26"/>
  <c r="C11" i="26"/>
  <c r="C12" i="26"/>
  <c r="C13" i="26"/>
  <c r="C14" i="26"/>
  <c r="C15" i="26"/>
  <c r="C6" i="26"/>
  <c r="B7" i="26"/>
  <c r="B8" i="26"/>
  <c r="B9" i="26"/>
  <c r="B10" i="26"/>
  <c r="B11" i="26"/>
  <c r="B12" i="26"/>
  <c r="B13" i="26"/>
  <c r="B14" i="26"/>
  <c r="B15" i="26"/>
  <c r="C6" i="18"/>
  <c r="D10" i="17" l="1" a="1"/>
  <c r="D10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<sst xmlns="http://schemas.openxmlformats.org/spreadsheetml/2006/main" count="372" uniqueCount="172">
  <si>
    <t>XLOOKUP 101</t>
  </si>
  <si>
    <t>Syntax is XLOOKUP(lookup, lookup_array, return_array, [not_found], [match_mode], [search_mode])</t>
  </si>
  <si>
    <t>Employee</t>
  </si>
  <si>
    <t>ID</t>
  </si>
  <si>
    <t>Sales</t>
  </si>
  <si>
    <t>Commission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</si>
  <si>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</si>
  <si>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</si>
  <si>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</si>
  <si>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</si>
  <si>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</si>
  <si>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</si>
  <si>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</si>
  <si>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</si>
  <si>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</si>
  <si>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</si>
  <si>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Employee ID</t>
  </si>
  <si>
    <t>Department</t>
  </si>
  <si>
    <t>ID18</t>
  </si>
  <si>
    <t>ID8</t>
  </si>
  <si>
    <t>ID24</t>
  </si>
  <si>
    <t>ID23</t>
  </si>
  <si>
    <t>ID13</t>
  </si>
  <si>
    <t>ID7</t>
  </si>
  <si>
    <t>ID19</t>
  </si>
  <si>
    <t>Paul Wells</t>
  </si>
  <si>
    <t>ID22</t>
  </si>
  <si>
    <t>Ewan Thompson</t>
  </si>
  <si>
    <t>ID5</t>
  </si>
  <si>
    <t>Walter Miller</t>
  </si>
  <si>
    <t>ID9</t>
  </si>
  <si>
    <t>Peter Ramsy</t>
  </si>
  <si>
    <t>ID17</t>
  </si>
  <si>
    <t>Wolfgang Ramjac</t>
  </si>
  <si>
    <t>ID10</t>
  </si>
  <si>
    <t>Brigitte Bond</t>
  </si>
  <si>
    <t>ID21</t>
  </si>
  <si>
    <t>Maria Tot</t>
  </si>
  <si>
    <t>ID3</t>
  </si>
  <si>
    <t>Procurement</t>
  </si>
  <si>
    <t>ID29</t>
  </si>
  <si>
    <t>Andre Cooper</t>
  </si>
  <si>
    <t>ID30</t>
  </si>
  <si>
    <t>Robert Musser</t>
  </si>
  <si>
    <t>ID14</t>
  </si>
  <si>
    <t>Ann Withers</t>
  </si>
  <si>
    <t>ID16</t>
  </si>
  <si>
    <t>Corinna Schmidt</t>
  </si>
  <si>
    <t>ID27</t>
  </si>
  <si>
    <t>Mike Saban</t>
  </si>
  <si>
    <t>ID4</t>
  </si>
  <si>
    <t>Finance</t>
  </si>
  <si>
    <t>ID12</t>
  </si>
  <si>
    <t>ID20</t>
  </si>
  <si>
    <t>ID28</t>
  </si>
  <si>
    <t>Daniel Garrett</t>
  </si>
  <si>
    <t>ID25</t>
  </si>
  <si>
    <t>Paul Hill</t>
  </si>
  <si>
    <t>ID1</t>
  </si>
  <si>
    <t>Crystal Doyle</t>
  </si>
  <si>
    <t>ID15</t>
  </si>
  <si>
    <t>Betina Bauer</t>
  </si>
  <si>
    <t>ID2</t>
  </si>
  <si>
    <t>Daniela Schreiber</t>
  </si>
  <si>
    <t>ID11</t>
  </si>
  <si>
    <t>Dan Ziegler</t>
  </si>
  <si>
    <t>ID26</t>
  </si>
  <si>
    <t>Robert Richardson</t>
  </si>
  <si>
    <t>ID6</t>
  </si>
  <si>
    <t>Robert Blume</t>
  </si>
  <si>
    <t>ID31</t>
  </si>
  <si>
    <t>Lukas Hofer</t>
  </si>
  <si>
    <t>SEQUENCE Function</t>
  </si>
  <si>
    <t>Syntax of SEQUENCE(rows, [columns], [start], [step])</t>
  </si>
  <si>
    <t>Basic Demo of Sequence: Generate an index</t>
  </si>
  <si>
    <t>Every 5 days from today</t>
  </si>
  <si>
    <t>One letter</t>
  </si>
  <si>
    <t>Challenge: Create a Quick Overview Report</t>
  </si>
  <si>
    <t>Convert the data to a table. Name the table TableAgent</t>
  </si>
  <si>
    <t>Create a unique list of sales agents sorted in descending order</t>
  </si>
  <si>
    <t>Calculate the total quantity sold by each agent during the entire period</t>
  </si>
  <si>
    <t>WELL DONE!</t>
  </si>
  <si>
    <t>Date</t>
  </si>
  <si>
    <t>Sales Agent</t>
  </si>
  <si>
    <t>Quantity</t>
  </si>
  <si>
    <t>Dynamic LATs</t>
  </si>
  <si>
    <t>Input year</t>
  </si>
  <si>
    <t>Rate</t>
  </si>
  <si>
    <t>Value</t>
  </si>
  <si>
    <t>Monthly payment</t>
  </si>
  <si>
    <t>Month #</t>
  </si>
  <si>
    <t>Interest</t>
  </si>
  <si>
    <t>Principal</t>
  </si>
  <si>
    <t>Balance</t>
  </si>
  <si>
    <t>MAX &amp; MIN IFS Function</t>
  </si>
  <si>
    <t>Division</t>
  </si>
  <si>
    <t>Region</t>
  </si>
  <si>
    <t>Revenue</t>
  </si>
  <si>
    <t>Utility</t>
  </si>
  <si>
    <t>North America</t>
  </si>
  <si>
    <t>South America</t>
  </si>
  <si>
    <t>Max Revenue for Region</t>
  </si>
  <si>
    <t>Asia</t>
  </si>
  <si>
    <t>Europe</t>
  </si>
  <si>
    <t>Min Revenue for Region</t>
  </si>
  <si>
    <t>Australia</t>
  </si>
  <si>
    <t>Productivity</t>
  </si>
  <si>
    <t>Max Revenue for Division</t>
  </si>
  <si>
    <t>Game</t>
  </si>
  <si>
    <t>Min Revenue for Division</t>
  </si>
  <si>
    <t>IFS Function (Replacement to Nested IFS)</t>
  </si>
  <si>
    <t>Comment</t>
  </si>
  <si>
    <t>Criteria For Comment</t>
  </si>
  <si>
    <t>Text to Assign</t>
  </si>
  <si>
    <t>Traditional IF Formula:</t>
  </si>
  <si>
    <t>Above 45,000</t>
  </si>
  <si>
    <t>Amazing</t>
  </si>
  <si>
    <t>=IF(Logical Test, Value If True, Value If False)</t>
  </si>
  <si>
    <t>Above 40,000</t>
  </si>
  <si>
    <t>Very Good</t>
  </si>
  <si>
    <t>Above 35,000</t>
  </si>
  <si>
    <t>Good</t>
  </si>
  <si>
    <t>Above 30,000</t>
  </si>
  <si>
    <t>Bad</t>
  </si>
  <si>
    <t>Equal or Below 30,000</t>
  </si>
  <si>
    <t>Very Bad</t>
  </si>
  <si>
    <t>Example 1</t>
  </si>
  <si>
    <t>Concatenate</t>
  </si>
  <si>
    <t>Concat</t>
  </si>
  <si>
    <t>Textjoin</t>
  </si>
  <si>
    <t>This</t>
  </si>
  <si>
    <t>is</t>
  </si>
  <si>
    <t>a</t>
  </si>
  <si>
    <t>sentence</t>
  </si>
  <si>
    <t>Example 2</t>
  </si>
  <si>
    <t>&amp; Formula</t>
  </si>
  <si>
    <t>I</t>
  </si>
  <si>
    <t>love</t>
  </si>
  <si>
    <t>MS</t>
  </si>
  <si>
    <t>Excel</t>
  </si>
  <si>
    <t>E-mails</t>
  </si>
  <si>
    <t>TEXTJOIN</t>
  </si>
  <si>
    <t>MamieH@gnet.com</t>
  </si>
  <si>
    <t>DebiD@yahoo.com</t>
  </si>
  <si>
    <t>PalmerA@yahoo.com</t>
  </si>
  <si>
    <t>ZinaW@gmail.com</t>
  </si>
  <si>
    <t>SanfordB@hotmail.com</t>
  </si>
  <si>
    <t>HildeC@gnet.com</t>
  </si>
  <si>
    <t>PenelopeS@gmail.com</t>
  </si>
  <si>
    <t>TreasaM@yahoo.com</t>
  </si>
  <si>
    <t>TameraM@hotmail.com</t>
  </si>
  <si>
    <t>DonteR@yahoo.com</t>
  </si>
  <si>
    <t>EvanC@gmail.com</t>
  </si>
  <si>
    <t>LizetteD@gmail.com</t>
  </si>
  <si>
    <t>NoemiS@hotmail.com</t>
  </si>
  <si>
    <t>WillisC@gmail.com</t>
  </si>
  <si>
    <t>LatishaH@hotmail.com</t>
  </si>
  <si>
    <t>DaniellV@hotmail.com</t>
  </si>
  <si>
    <t>StarrM@gnet.com</t>
  </si>
  <si>
    <t>WendiH@gnet.com</t>
  </si>
  <si>
    <t>LeannaD@hotmail.com</t>
  </si>
  <si>
    <t>CleotildeW@hotmail.com</t>
  </si>
  <si>
    <t>RANDARRAY Function</t>
  </si>
  <si>
    <t>INDEX</t>
  </si>
  <si>
    <t>Syntax of RANDARRAY([rows], [columns], [min], [max], [integer])</t>
  </si>
  <si>
    <t>Random numbers between 0 and 1</t>
  </si>
  <si>
    <t>Randomly assign people to teams</t>
  </si>
  <si>
    <t>Team 1</t>
  </si>
  <si>
    <t>Team 2</t>
  </si>
  <si>
    <t>Random rounded numbers between 10 and 100</t>
  </si>
  <si>
    <t>Team 3</t>
  </si>
  <si>
    <t>Team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</si>
</sst>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$&quot;#,##0.00_);[Red]\(&quot;$&quot;#,##0.00\)"/>
    <numFmt numFmtId="166" formatCode="_ [$₹-4009]\ * #,##0_ ;_ [$₹-4009]\ * \-#,##0_ ;_ [$₹-4009]\ * &quot;-&quot;??_ ;_ @_ 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6666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A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1" tint="0.499984740745262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0" xfId="0" applyNumberFormat="1"/>
    <xf numFmtId="0" fontId="1" fillId="0" borderId="0" xfId="0" applyFont="1"/>
    <xf numFmtId="0" fontId="0" fillId="4" borderId="0" xfId="0" applyFill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0" xfId="0" applyFont="1"/>
    <xf numFmtId="0" fontId="8" fillId="2" borderId="0" xfId="0" applyFont="1" applyFill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3" fontId="0" fillId="4" borderId="0" xfId="0" applyNumberFormat="1" applyFill="1"/>
    <xf numFmtId="0" fontId="9" fillId="0" borderId="0" xfId="1"/>
    <xf numFmtId="0" fontId="9" fillId="0" borderId="1" xfId="1" applyBorder="1"/>
    <xf numFmtId="0" fontId="10" fillId="0" borderId="0" xfId="2"/>
    <xf numFmtId="0" fontId="1" fillId="0" borderId="3" xfId="2" applyFont="1" applyBorder="1"/>
    <xf numFmtId="0" fontId="1" fillId="0" borderId="5" xfId="2" applyFont="1" applyBorder="1"/>
    <xf numFmtId="0" fontId="1" fillId="0" borderId="0" xfId="2" applyFont="1"/>
    <xf numFmtId="3" fontId="10" fillId="0" borderId="0" xfId="2" applyNumberFormat="1"/>
    <xf numFmtId="0" fontId="1" fillId="0" borderId="4" xfId="2" applyFont="1" applyBorder="1" applyAlignment="1">
      <alignment horizontal="left"/>
    </xf>
    <xf numFmtId="3" fontId="10" fillId="3" borderId="2" xfId="2" applyNumberFormat="1" applyFill="1" applyBorder="1"/>
    <xf numFmtId="0" fontId="1" fillId="5" borderId="6" xfId="2" applyFont="1" applyFill="1" applyBorder="1"/>
    <xf numFmtId="0" fontId="10" fillId="0" borderId="6" xfId="2" applyBorder="1"/>
    <xf numFmtId="0" fontId="1" fillId="6" borderId="0" xfId="0" applyFont="1" applyFill="1"/>
    <xf numFmtId="0" fontId="1" fillId="0" borderId="0" xfId="0" applyFont="1" applyAlignment="1">
      <alignment horizontal="center"/>
    </xf>
    <xf numFmtId="0" fontId="7" fillId="7" borderId="6" xfId="0" applyFont="1" applyFill="1" applyBorder="1"/>
    <xf numFmtId="14" fontId="0" fillId="4" borderId="0" xfId="0" applyNumberFormat="1" applyFill="1"/>
    <xf numFmtId="0" fontId="0" fillId="0" borderId="7" xfId="0" applyBorder="1"/>
    <xf numFmtId="0" fontId="0" fillId="8" borderId="7" xfId="0" applyFill="1" applyBorder="1"/>
    <xf numFmtId="0" fontId="0" fillId="0" borderId="8" xfId="0" applyBorder="1"/>
    <xf numFmtId="10" fontId="0" fillId="8" borderId="8" xfId="4" applyNumberFormat="1" applyFont="1" applyFill="1" applyBorder="1"/>
    <xf numFmtId="3" fontId="0" fillId="8" borderId="8" xfId="0" applyNumberFormat="1" applyFill="1" applyBorder="1"/>
    <xf numFmtId="0" fontId="1" fillId="0" borderId="4" xfId="0" applyFont="1" applyBorder="1" applyAlignment="1">
      <alignment horizontal="center"/>
    </xf>
    <xf numFmtId="4" fontId="0" fillId="0" borderId="0" xfId="0" applyNumberFormat="1"/>
    <xf numFmtId="165" fontId="0" fillId="0" borderId="0" xfId="0" applyNumberFormat="1"/>
    <xf numFmtId="164" fontId="0" fillId="0" borderId="0" xfId="3" applyFont="1"/>
    <xf numFmtId="164" fontId="1" fillId="0" borderId="4" xfId="3" applyFont="1" applyBorder="1" applyAlignment="1">
      <alignment horizontal="center"/>
    </xf>
    <xf numFmtId="164" fontId="0" fillId="4" borderId="0" xfId="3" applyFont="1" applyFill="1"/>
    <xf numFmtId="0" fontId="10" fillId="0" borderId="0" xfId="2" quotePrefix="1"/>
    <xf numFmtId="0" fontId="2" fillId="0" borderId="0" xfId="0" applyFont="1"/>
    <xf numFmtId="166" fontId="0" fillId="4" borderId="0" xfId="0" applyNumberFormat="1" applyFill="1"/>
    <xf numFmtId="0" fontId="1" fillId="0" borderId="9" xfId="0" applyFont="1" applyBorder="1"/>
    <xf numFmtId="0" fontId="0" fillId="9" borderId="0" xfId="0" applyFill="1"/>
    <xf numFmtId="0" fontId="11" fillId="0" borderId="0" xfId="0" applyFont="1"/>
    <xf numFmtId="0" fontId="12" fillId="0" borderId="0" xfId="0" applyFont="1"/>
    <xf numFmtId="0" fontId="1" fillId="0" borderId="0" xfId="0" quotePrefix="1" applyFont="1"/>
    <xf numFmtId="9" fontId="0" fillId="0" borderId="0" xfId="0" applyNumberFormat="1"/>
    <xf numFmtId="0" fontId="1" fillId="6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4" applyFont="1" applyBorder="1" applyAlignment="1">
      <alignment horizontal="center"/>
    </xf>
  </cellXfs>
  <cellStyles count="5">
    <cellStyle name="Comma" xfId="3" builtinId="3"/>
    <cellStyle name="Hyperlink" xfId="1" builtinId="8"/>
    <cellStyle name="Normal" xfId="0" builtinId="0"/>
    <cellStyle name="Normal 2" xfId="2" xr:uid="{968BB1C8-F5D5-4901-91E3-E3CD78EC5A9F}"/>
    <cellStyle name="Per cent" xfId="4" builtinId="5"/>
  </cellStyles>
  <dxfs count="1">
    <dxf>
      <font>
        <b val="0"/>
        <i val="0"/>
        <color theme="9" tint="-0.24994659260841701"/>
      </font>
    </dxf>
  </dxfs>
  <tableStyles count="0" defaultTableStyle="TableStyleMedium2" defaultPivotStyle="PivotStyleLight16"/>
  <colors>
    <mruColors>
      <color rgb="FFF2F8EE"/>
      <color rgb="FF2981B9"/>
      <color rgb="FF9DA85E"/>
      <color rgb="FF006666"/>
      <color rgb="FFE6834F"/>
      <color rgb="FFFFAFAF"/>
      <color rgb="FF2FFFFF"/>
      <color rgb="FF29B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L$1" lockText="1" noThreeD="1"/>
</file>

<file path=xl/ctrlProps/ctrlProp2.xml><?xml version="1.0" encoding="utf-8"?>
<formControlPr xmlns="http://schemas.microsoft.com/office/spreadsheetml/2009/9/main" objectType="CheckBox" fmlaLink="$L$2" lockText="1" noThreeD="1"/>
</file>

<file path=xl/ctrlProps/ctrlProp3.xml><?xml version="1.0" encoding="utf-8"?>
<formControlPr xmlns="http://schemas.microsoft.com/office/spreadsheetml/2009/9/main" objectType="CheckBox" fmlaLink="$L$3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302761</xdr:colOff>
      <xdr:row>15</xdr:row>
      <xdr:rowOff>114300</xdr:rowOff>
    </xdr:from>
    <xdr:to>
      <xdr:col>4</xdr:col>
      <xdr:colOff>300560</xdr:colOff>
      <xdr:row>22</xdr:row>
      <xdr:rowOff>70374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41011" y="2962275"/>
          <a:ext cx="2379049" cy="1222899"/>
          <a:chOff x="4891411" y="-245628"/>
          <a:chExt cx="4353527" cy="151451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5874285" y="-169875"/>
            <a:ext cx="3370653" cy="143875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Use XLOOKUP to find the ID &amp; Sales of each employee</a:t>
            </a:r>
            <a:r>
              <a:rPr lang="en-US" sz="1100" baseline="0">
                <a:solidFill>
                  <a:sysClr val="windowText" lastClr="000000"/>
                </a:solidFill>
              </a:rPr>
              <a:t> from the </a:t>
            </a:r>
            <a:r>
              <a:rPr lang="en-US" sz="1100" b="1" baseline="0">
                <a:solidFill>
                  <a:sysClr val="windowText" lastClr="000000"/>
                </a:solidFill>
              </a:rPr>
              <a:t>Data</a:t>
            </a:r>
            <a:r>
              <a:rPr lang="en-US" sz="1100" baseline="0">
                <a:solidFill>
                  <a:sysClr val="windowText" lastClr="000000"/>
                </a:solidFill>
              </a:rPr>
              <a:t> sheet.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 rot="360361" flipV="1">
            <a:off x="4891411" y="-245628"/>
            <a:ext cx="781050" cy="420599"/>
          </a:xfrm>
          <a:custGeom>
            <a:avLst/>
            <a:gdLst>
              <a:gd name="connsiteX0" fmla="*/ 781050 w 781050"/>
              <a:gd name="connsiteY0" fmla="*/ 0 h 200025"/>
              <a:gd name="connsiteX1" fmla="*/ 295275 w 781050"/>
              <a:gd name="connsiteY1" fmla="*/ 85725 h 200025"/>
              <a:gd name="connsiteX2" fmla="*/ 0 w 781050"/>
              <a:gd name="connsiteY2" fmla="*/ 200025 h 200025"/>
              <a:gd name="connsiteX3" fmla="*/ 0 w 781050"/>
              <a:gd name="connsiteY3" fmla="*/ 200025 h 2000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81050" h="200025">
                <a:moveTo>
                  <a:pt x="781050" y="0"/>
                </a:moveTo>
                <a:cubicBezTo>
                  <a:pt x="603250" y="26194"/>
                  <a:pt x="425450" y="52388"/>
                  <a:pt x="295275" y="85725"/>
                </a:cubicBezTo>
                <a:cubicBezTo>
                  <a:pt x="165100" y="119062"/>
                  <a:pt x="0" y="200025"/>
                  <a:pt x="0" y="200025"/>
                </a:cubicBezTo>
                <a:lnTo>
                  <a:pt x="0" y="200025"/>
                </a:lnTo>
              </a:path>
            </a:pathLst>
          </a:custGeom>
          <a:noFill/>
          <a:ln w="19050">
            <a:solidFill>
              <a:schemeClr val="accent6">
                <a:lumMod val="60000"/>
                <a:lumOff val="40000"/>
              </a:schemeClr>
            </a:solidFill>
            <a:headEnd type="none" w="med" len="med"/>
            <a:tailEnd type="arrow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1</xdr:row>
          <xdr:rowOff>175260</xdr:rowOff>
        </xdr:from>
        <xdr:to>
          <xdr:col>8</xdr:col>
          <xdr:colOff>228600</xdr:colOff>
          <xdr:row>3</xdr:row>
          <xdr:rowOff>30480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1. 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3</xdr:row>
          <xdr:rowOff>15240</xdr:rowOff>
        </xdr:from>
        <xdr:to>
          <xdr:col>8</xdr:col>
          <xdr:colOff>228600</xdr:colOff>
          <xdr:row>4</xdr:row>
          <xdr:rowOff>53340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8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2. 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4</xdr:row>
          <xdr:rowOff>22860</xdr:rowOff>
        </xdr:from>
        <xdr:to>
          <xdr:col>8</xdr:col>
          <xdr:colOff>228600</xdr:colOff>
          <xdr:row>5</xdr:row>
          <xdr:rowOff>68580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8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3. Done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21</xdr:row>
      <xdr:rowOff>142875</xdr:rowOff>
    </xdr:from>
    <xdr:to>
      <xdr:col>2</xdr:col>
      <xdr:colOff>581025</xdr:colOff>
      <xdr:row>26</xdr:row>
      <xdr:rowOff>52388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57175" y="3990975"/>
          <a:ext cx="1619250" cy="8143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Randarray comes in handy for modeling and simulations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3514-277F-46C2-A7C6-4A66FA592CCA}">
  <sheetPr>
    <tabColor theme="0" tint="-0.34998626667073579"/>
  </sheetPr>
  <dimension ref="A1:I15"/>
  <sheetViews>
    <sheetView tabSelected="1" zoomScale="115" zoomScaleNormal="115" workbookViewId="0">
      <selection activeCell="B6" sqref="B6"/>
    </sheetView>
  </sheetViews>
  <sheetFormatPr defaultRowHeight="14.45"/>
  <cols>
    <col min="1" max="1" width="18.5703125" customWidth="1"/>
    <col min="2" max="2" width="17.42578125" customWidth="1"/>
    <col min="9" max="9" width="13.28515625" customWidth="1"/>
  </cols>
  <sheetData>
    <row r="1" spans="1:9" s="50" customFormat="1" ht="21">
      <c r="A1" s="49" t="s">
        <v>0</v>
      </c>
    </row>
    <row r="2" spans="1:9">
      <c r="A2" s="4"/>
    </row>
    <row r="3" spans="1:9">
      <c r="A3" s="51" t="s">
        <v>1</v>
      </c>
    </row>
    <row r="5" spans="1:9" ht="15" thickBot="1">
      <c r="A5" s="47" t="s">
        <v>2</v>
      </c>
      <c r="B5" s="47" t="s">
        <v>3</v>
      </c>
      <c r="C5" s="47" t="s">
        <v>4</v>
      </c>
      <c r="H5" s="47" t="s">
        <v>4</v>
      </c>
      <c r="I5" s="47" t="s">
        <v>5</v>
      </c>
    </row>
    <row r="6" spans="1:9" ht="15" thickTop="1">
      <c r="A6" t="s">
        <v>6</v>
      </c>
      <c r="B6" s="48" t="str">
        <f>_xlfn.XLOOKUP(A6,'XLookUp - Data'!$D$2:$D$33,'XLookUp - Data'!$A$2:$A$33,"Not Found")</f>
        <v>ID4</v>
      </c>
      <c r="C6" s="48">
        <f>_xlfn.XLOOKUP(A6,'XLookUp - Data'!$D$2:$D$33,'XLookUp - Data'!$B$2:$B$33)</f>
        <v>216</v>
      </c>
      <c r="H6">
        <v>0</v>
      </c>
      <c r="I6" s="52">
        <v>0.05</v>
      </c>
    </row>
    <row r="7" spans="1:9">
      <c r="A7" t="s">
        <v>7</v>
      </c>
      <c r="B7" s="48" t="str">
        <f>_xlfn.XLOOKUP(A7,'XLookUp - Data'!$D$2:$D$33,'XLookUp - Data'!$A$2:$A$33)</f>
        <v>ID18</v>
      </c>
      <c r="C7" s="48">
        <f>_xlfn.XLOOKUP(A7,'XLookUp - Data'!$D$2:$D$33,'XLookUp - Data'!$B$2:$B$33)</f>
        <v>369</v>
      </c>
      <c r="H7">
        <v>100</v>
      </c>
      <c r="I7" s="52">
        <v>0.1</v>
      </c>
    </row>
    <row r="8" spans="1:9">
      <c r="A8" t="s">
        <v>8</v>
      </c>
      <c r="B8" s="48" t="str">
        <f>_xlfn.XLOOKUP(A8,'XLookUp - Data'!$D$2:$D$33,'XLookUp - Data'!$A$2:$A$33)</f>
        <v>ID12</v>
      </c>
      <c r="C8" s="48">
        <f>_xlfn.XLOOKUP(A8,'XLookUp - Data'!$D$2:$D$33,'XLookUp - Data'!$B$2:$B$33)</f>
        <v>337</v>
      </c>
      <c r="H8">
        <v>200</v>
      </c>
      <c r="I8" s="52">
        <v>0.2</v>
      </c>
    </row>
    <row r="9" spans="1:9" ht="15" thickBot="1">
      <c r="A9" t="s">
        <v>9</v>
      </c>
      <c r="B9" s="48" t="str">
        <f>_xlfn.XLOOKUP(A9,'XLookUp - Data'!$D$2:$D$33,'XLookUp - Data'!$A$2:$A$33)</f>
        <v>ID8</v>
      </c>
      <c r="C9" s="48">
        <f>_xlfn.XLOOKUP(A9,'XLookUp - Data'!$D$2:$D$33,'XLookUp - Data'!$B$2:$B$33)</f>
        <v>245</v>
      </c>
    </row>
    <row r="10" spans="1:9" ht="15" thickBot="1">
      <c r="A10" t="s">
        <v>10</v>
      </c>
      <c r="B10" s="48" t="str">
        <f>_xlfn.XLOOKUP(A10,'XLookUp - Data'!$D$2:$D$33,'XLookUp - Data'!$A$2:$A$33)</f>
        <v>ID20</v>
      </c>
      <c r="C10" s="48">
        <f>_xlfn.XLOOKUP(A10,'XLookUp - Data'!$D$2:$D$33,'XLookUp - Data'!$B$2:$B$33)</f>
        <v>390</v>
      </c>
      <c r="H10" s="53" t="s">
        <v>4</v>
      </c>
      <c r="I10" s="53" t="s">
        <v>5</v>
      </c>
    </row>
    <row r="11" spans="1:9" ht="15" thickBot="1">
      <c r="A11" t="s">
        <v>11</v>
      </c>
      <c r="B11" s="48" t="str">
        <f>_xlfn.XLOOKUP(A11,'XLookUp - Data'!$D$2:$D$33,'XLookUp - Data'!$A$2:$A$33)</f>
        <v>ID24</v>
      </c>
      <c r="C11" s="48">
        <f>_xlfn.XLOOKUP(A11,'XLookUp - Data'!$D$2:$D$33,'XLookUp - Data'!$B$2:$B$33)</f>
        <v>217</v>
      </c>
      <c r="H11" s="54">
        <v>150</v>
      </c>
      <c r="I11" s="55"/>
    </row>
    <row r="12" spans="1:9">
      <c r="A12" t="s">
        <v>12</v>
      </c>
      <c r="B12" s="48" t="str">
        <f>_xlfn.XLOOKUP(A12,'XLookUp - Data'!$D$2:$D$33,'XLookUp - Data'!$A$2:$A$33)</f>
        <v>ID23</v>
      </c>
      <c r="C12" s="48">
        <f>_xlfn.XLOOKUP(A12,'XLookUp - Data'!$D$2:$D$33,'XLookUp - Data'!$B$2:$B$33)</f>
        <v>134</v>
      </c>
    </row>
    <row r="13" spans="1:9">
      <c r="A13" t="s">
        <v>13</v>
      </c>
      <c r="B13" s="48" t="str">
        <f>_xlfn.XLOOKUP(A13,'XLookUp - Data'!$D$2:$D$33,'XLookUp - Data'!$A$2:$A$33)</f>
        <v>ID3</v>
      </c>
      <c r="C13" s="48">
        <f>_xlfn.XLOOKUP(A13,'XLookUp - Data'!$D$2:$D$33,'XLookUp - Data'!$B$2:$B$33)</f>
        <v>111</v>
      </c>
    </row>
    <row r="14" spans="1:9">
      <c r="A14" t="s">
        <v>14</v>
      </c>
      <c r="B14" s="48" t="str">
        <f>_xlfn.XLOOKUP(A14,'XLookUp - Data'!$D$2:$D$33,'XLookUp - Data'!$A$2:$A$33)</f>
        <v>ID13</v>
      </c>
      <c r="C14" s="48">
        <f>_xlfn.XLOOKUP(A14,'XLookUp - Data'!$D$2:$D$33,'XLookUp - Data'!$B$2:$B$33)</f>
        <v>365</v>
      </c>
    </row>
    <row r="15" spans="1:9">
      <c r="A15" t="s">
        <v>15</v>
      </c>
      <c r="B15" s="48" t="str">
        <f>_xlfn.XLOOKUP(A15,'XLookUp - Data'!$D$2:$D$33,'XLookUp - Data'!$A$2:$A$33)</f>
        <v>ID7</v>
      </c>
      <c r="C15" s="48">
        <f>_xlfn.XLOOKUP(A15,'XLookUp - Data'!$D$2:$D$33,'XLookUp - Data'!$B$2:$B$33)</f>
        <v>451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AC20-40F5-4724-B4DC-E6395907D0E2}">
  <sheetPr>
    <tabColor theme="0" tint="-0.34998626667073579"/>
  </sheetPr>
  <dimension ref="A2:K33"/>
  <sheetViews>
    <sheetView zoomScale="115" zoomScaleNormal="115" workbookViewId="0">
      <selection activeCell="J6" sqref="J6:J15"/>
    </sheetView>
  </sheetViews>
  <sheetFormatPr defaultRowHeight="15" customHeight="1"/>
  <cols>
    <col min="1" max="2" width="13.28515625" customWidth="1"/>
    <col min="3" max="3" width="14.28515625" customWidth="1"/>
    <col min="4" max="4" width="15.42578125" customWidth="1"/>
    <col min="9" max="9" width="15" bestFit="1" customWidth="1"/>
  </cols>
  <sheetData>
    <row r="2" spans="1:11">
      <c r="A2" s="47" t="s">
        <v>16</v>
      </c>
      <c r="B2" s="47" t="s">
        <v>4</v>
      </c>
      <c r="C2" s="47" t="s">
        <v>17</v>
      </c>
      <c r="D2" s="47" t="s">
        <v>2</v>
      </c>
    </row>
    <row r="3" spans="1:11">
      <c r="A3" t="s">
        <v>18</v>
      </c>
      <c r="B3">
        <v>369</v>
      </c>
      <c r="C3" t="s">
        <v>4</v>
      </c>
      <c r="D3" t="s">
        <v>7</v>
      </c>
    </row>
    <row r="4" spans="1:11">
      <c r="A4" t="s">
        <v>19</v>
      </c>
      <c r="B4">
        <v>245</v>
      </c>
      <c r="C4" t="s">
        <v>4</v>
      </c>
      <c r="D4" t="s">
        <v>9</v>
      </c>
    </row>
    <row r="5" spans="1:11">
      <c r="A5" t="s">
        <v>20</v>
      </c>
      <c r="B5">
        <v>217</v>
      </c>
      <c r="C5" t="s">
        <v>4</v>
      </c>
      <c r="D5" t="s">
        <v>11</v>
      </c>
      <c r="I5" s="47" t="s">
        <v>2</v>
      </c>
      <c r="J5" s="47" t="s">
        <v>3</v>
      </c>
      <c r="K5" s="47" t="s">
        <v>4</v>
      </c>
    </row>
    <row r="6" spans="1:11">
      <c r="A6" t="s">
        <v>21</v>
      </c>
      <c r="B6">
        <v>134</v>
      </c>
      <c r="C6" t="s">
        <v>4</v>
      </c>
      <c r="D6" t="s">
        <v>12</v>
      </c>
      <c r="I6" t="s">
        <v>6</v>
      </c>
      <c r="J6" s="48" t="str" cm="1">
        <f t="array" ref="J6:K6">_xlfn.XLOOKUP(I6,$D$2:$D$33,$A$2:$B$33,"Not Found")</f>
        <v>ID4</v>
      </c>
      <c r="K6" s="48">
        <v>216</v>
      </c>
    </row>
    <row r="7" spans="1:11">
      <c r="A7" t="s">
        <v>22</v>
      </c>
      <c r="B7">
        <v>365</v>
      </c>
      <c r="C7" t="s">
        <v>4</v>
      </c>
      <c r="D7" t="s">
        <v>14</v>
      </c>
      <c r="I7" t="s">
        <v>7</v>
      </c>
      <c r="J7" s="48" t="str" cm="1">
        <f t="array" ref="J7:K7">_xlfn.XLOOKUP(I7,$D$2:$D$33,$A$2:$B$33,"Not Found")</f>
        <v>ID18</v>
      </c>
      <c r="K7" s="48">
        <v>369</v>
      </c>
    </row>
    <row r="8" spans="1:11">
      <c r="A8" t="s">
        <v>23</v>
      </c>
      <c r="B8">
        <v>451</v>
      </c>
      <c r="C8" t="s">
        <v>4</v>
      </c>
      <c r="D8" t="s">
        <v>15</v>
      </c>
      <c r="I8" t="s">
        <v>8</v>
      </c>
      <c r="J8" s="48" t="str" cm="1">
        <f t="array" ref="J8:K8">_xlfn.XLOOKUP(I8,$D$2:$D$33,$A$2:$B$33,"Not Found")</f>
        <v>ID12</v>
      </c>
      <c r="K8" s="48">
        <v>337</v>
      </c>
    </row>
    <row r="9" spans="1:11">
      <c r="A9" t="s">
        <v>24</v>
      </c>
      <c r="B9">
        <v>299</v>
      </c>
      <c r="C9" t="s">
        <v>4</v>
      </c>
      <c r="D9" t="s">
        <v>25</v>
      </c>
      <c r="I9" t="s">
        <v>9</v>
      </c>
      <c r="J9" s="48" t="str" cm="1">
        <f t="array" ref="J9:K9">_xlfn.XLOOKUP(I9,$D$2:$D$33,$A$2:$B$33,"Not Found")</f>
        <v>ID8</v>
      </c>
      <c r="K9" s="48">
        <v>245</v>
      </c>
    </row>
    <row r="10" spans="1:11">
      <c r="A10" t="s">
        <v>26</v>
      </c>
      <c r="B10">
        <v>412</v>
      </c>
      <c r="C10" t="s">
        <v>4</v>
      </c>
      <c r="D10" t="s">
        <v>27</v>
      </c>
      <c r="I10" t="s">
        <v>10</v>
      </c>
      <c r="J10" s="48" t="str" cm="1">
        <f t="array" ref="J10:K10">_xlfn.XLOOKUP(I10,$D$2:$D$33,$A$2:$B$33,"Not Found")</f>
        <v>ID20</v>
      </c>
      <c r="K10" s="48">
        <v>390</v>
      </c>
    </row>
    <row r="11" spans="1:11">
      <c r="A11" t="s">
        <v>28</v>
      </c>
      <c r="B11">
        <v>398</v>
      </c>
      <c r="C11" t="s">
        <v>4</v>
      </c>
      <c r="D11" t="s">
        <v>29</v>
      </c>
      <c r="I11" t="s">
        <v>11</v>
      </c>
      <c r="J11" s="48" t="str" cm="1">
        <f t="array" ref="J11:K11">_xlfn.XLOOKUP(I11,$D$2:$D$33,$A$2:$B$33,"Not Found")</f>
        <v>ID24</v>
      </c>
      <c r="K11" s="48">
        <v>217</v>
      </c>
    </row>
    <row r="12" spans="1:11">
      <c r="A12" t="s">
        <v>30</v>
      </c>
      <c r="B12">
        <v>133</v>
      </c>
      <c r="C12" t="s">
        <v>4</v>
      </c>
      <c r="D12" t="s">
        <v>31</v>
      </c>
      <c r="I12" t="s">
        <v>12</v>
      </c>
      <c r="J12" s="48" t="str" cm="1">
        <f t="array" ref="J12:K12">_xlfn.XLOOKUP(I12,$D$2:$D$33,$A$2:$B$33,"Not Found")</f>
        <v>ID23</v>
      </c>
      <c r="K12" s="48">
        <v>134</v>
      </c>
    </row>
    <row r="13" spans="1:11">
      <c r="A13" t="s">
        <v>32</v>
      </c>
      <c r="B13">
        <v>299</v>
      </c>
      <c r="C13" t="s">
        <v>4</v>
      </c>
      <c r="D13" t="s">
        <v>33</v>
      </c>
      <c r="I13" t="s">
        <v>13</v>
      </c>
      <c r="J13" s="48" t="str" cm="1">
        <f t="array" ref="J13:K13">_xlfn.XLOOKUP(I13,$D$2:$D$33,$A$2:$B$33,"Not Found")</f>
        <v>ID3</v>
      </c>
      <c r="K13" s="48">
        <v>111</v>
      </c>
    </row>
    <row r="14" spans="1:11">
      <c r="A14" t="s">
        <v>34</v>
      </c>
      <c r="B14">
        <v>201</v>
      </c>
      <c r="C14" t="s">
        <v>4</v>
      </c>
      <c r="D14" t="s">
        <v>35</v>
      </c>
      <c r="I14" t="s">
        <v>14</v>
      </c>
      <c r="J14" s="48" t="str" cm="1">
        <f t="array" ref="J14:K14">_xlfn.XLOOKUP(I14,$D$2:$D$33,$A$2:$B$33,"Not Found")</f>
        <v>ID13</v>
      </c>
      <c r="K14" s="48">
        <v>365</v>
      </c>
    </row>
    <row r="15" spans="1:11">
      <c r="A15" t="s">
        <v>36</v>
      </c>
      <c r="B15">
        <v>236</v>
      </c>
      <c r="C15" t="s">
        <v>4</v>
      </c>
      <c r="D15" t="s">
        <v>37</v>
      </c>
      <c r="I15" t="s">
        <v>15</v>
      </c>
      <c r="J15" s="48" t="str" cm="1">
        <f t="array" ref="J15:K15">_xlfn.XLOOKUP(I15,$D$2:$D$33,$A$2:$B$33,"Not Found")</f>
        <v>ID7</v>
      </c>
      <c r="K15" s="48">
        <v>451</v>
      </c>
    </row>
    <row r="16" spans="1:11">
      <c r="A16" t="s">
        <v>38</v>
      </c>
      <c r="B16">
        <v>111</v>
      </c>
      <c r="C16" t="s">
        <v>39</v>
      </c>
      <c r="D16" t="s">
        <v>13</v>
      </c>
    </row>
    <row r="17" spans="1:4">
      <c r="A17" t="s">
        <v>40</v>
      </c>
      <c r="B17">
        <v>105</v>
      </c>
      <c r="C17" t="s">
        <v>39</v>
      </c>
      <c r="D17" t="s">
        <v>41</v>
      </c>
    </row>
    <row r="18" spans="1:4">
      <c r="A18" t="s">
        <v>42</v>
      </c>
      <c r="B18">
        <v>114</v>
      </c>
      <c r="C18" t="s">
        <v>39</v>
      </c>
      <c r="D18" t="s">
        <v>43</v>
      </c>
    </row>
    <row r="19" spans="1:4">
      <c r="A19" t="s">
        <v>44</v>
      </c>
      <c r="B19">
        <v>483</v>
      </c>
      <c r="C19" t="s">
        <v>39</v>
      </c>
      <c r="D19" t="s">
        <v>45</v>
      </c>
    </row>
    <row r="20" spans="1:4">
      <c r="A20" t="s">
        <v>46</v>
      </c>
      <c r="B20">
        <v>129</v>
      </c>
      <c r="C20" t="s">
        <v>39</v>
      </c>
      <c r="D20" t="s">
        <v>47</v>
      </c>
    </row>
    <row r="21" spans="1:4">
      <c r="A21" t="s">
        <v>48</v>
      </c>
      <c r="B21">
        <v>344</v>
      </c>
      <c r="C21" t="s">
        <v>39</v>
      </c>
      <c r="D21" t="s">
        <v>49</v>
      </c>
    </row>
    <row r="22" spans="1:4">
      <c r="A22" t="s">
        <v>50</v>
      </c>
      <c r="B22">
        <v>216</v>
      </c>
      <c r="C22" t="s">
        <v>51</v>
      </c>
      <c r="D22" t="s">
        <v>6</v>
      </c>
    </row>
    <row r="23" spans="1:4">
      <c r="A23" t="s">
        <v>52</v>
      </c>
      <c r="B23">
        <v>337</v>
      </c>
      <c r="C23" t="s">
        <v>51</v>
      </c>
      <c r="D23" t="s">
        <v>8</v>
      </c>
    </row>
    <row r="24" spans="1:4">
      <c r="A24" t="s">
        <v>53</v>
      </c>
      <c r="B24">
        <v>390</v>
      </c>
      <c r="C24" t="s">
        <v>51</v>
      </c>
      <c r="D24" t="s">
        <v>10</v>
      </c>
    </row>
    <row r="25" spans="1:4">
      <c r="A25" t="s">
        <v>54</v>
      </c>
      <c r="B25">
        <v>374</v>
      </c>
      <c r="C25" t="s">
        <v>51</v>
      </c>
      <c r="D25" t="s">
        <v>55</v>
      </c>
    </row>
    <row r="26" spans="1:4">
      <c r="A26" t="s">
        <v>56</v>
      </c>
      <c r="B26">
        <v>408</v>
      </c>
      <c r="C26" t="s">
        <v>51</v>
      </c>
      <c r="D26" t="s">
        <v>57</v>
      </c>
    </row>
    <row r="27" spans="1:4">
      <c r="A27" t="s">
        <v>58</v>
      </c>
      <c r="B27">
        <v>264</v>
      </c>
      <c r="C27" t="s">
        <v>51</v>
      </c>
      <c r="D27" t="s">
        <v>59</v>
      </c>
    </row>
    <row r="28" spans="1:4">
      <c r="A28" t="s">
        <v>60</v>
      </c>
      <c r="B28">
        <v>246</v>
      </c>
      <c r="C28" t="s">
        <v>51</v>
      </c>
      <c r="D28" t="s">
        <v>61</v>
      </c>
    </row>
    <row r="29" spans="1:4">
      <c r="A29" t="s">
        <v>62</v>
      </c>
      <c r="B29">
        <v>443</v>
      </c>
      <c r="C29" t="s">
        <v>51</v>
      </c>
      <c r="D29" t="s">
        <v>63</v>
      </c>
    </row>
    <row r="30" spans="1:4">
      <c r="A30" t="s">
        <v>64</v>
      </c>
      <c r="B30">
        <v>498</v>
      </c>
      <c r="C30" t="s">
        <v>51</v>
      </c>
      <c r="D30" t="s">
        <v>65</v>
      </c>
    </row>
    <row r="31" spans="1:4">
      <c r="A31" t="s">
        <v>66</v>
      </c>
      <c r="B31">
        <v>384</v>
      </c>
      <c r="C31" t="s">
        <v>51</v>
      </c>
      <c r="D31" t="s">
        <v>67</v>
      </c>
    </row>
    <row r="32" spans="1:4">
      <c r="A32" t="s">
        <v>68</v>
      </c>
      <c r="B32">
        <v>215</v>
      </c>
      <c r="C32" t="s">
        <v>51</v>
      </c>
      <c r="D32" t="s">
        <v>69</v>
      </c>
    </row>
    <row r="33" spans="1:4">
      <c r="A33" t="s">
        <v>70</v>
      </c>
      <c r="B33">
        <v>132</v>
      </c>
      <c r="C33" t="s">
        <v>51</v>
      </c>
      <c r="D3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F3C5-9B44-4940-B67F-B3AA99DF4999}">
  <sheetPr codeName="Sheet9">
    <tabColor theme="2" tint="-0.249977111117893"/>
  </sheetPr>
  <dimension ref="A1:G16"/>
  <sheetViews>
    <sheetView zoomScale="115" zoomScaleNormal="115" workbookViewId="0">
      <selection activeCell="E18" sqref="E18"/>
    </sheetView>
  </sheetViews>
  <sheetFormatPr defaultRowHeight="14.45"/>
  <cols>
    <col min="1" max="1" width="10.7109375" bestFit="1" customWidth="1"/>
    <col min="2" max="2" width="11.28515625" bestFit="1" customWidth="1"/>
    <col min="5" max="5" width="10.140625" customWidth="1"/>
  </cols>
  <sheetData>
    <row r="1" spans="1:7" ht="18">
      <c r="A1" s="1" t="s">
        <v>72</v>
      </c>
      <c r="B1" s="1"/>
      <c r="C1" s="1"/>
      <c r="D1" s="1"/>
      <c r="E1" s="1"/>
      <c r="F1" s="1"/>
      <c r="G1" s="18"/>
    </row>
    <row r="3" spans="1:7">
      <c r="A3" s="4" t="s">
        <v>73</v>
      </c>
    </row>
    <row r="5" spans="1:7">
      <c r="A5" s="4" t="s">
        <v>74</v>
      </c>
    </row>
    <row r="7" spans="1:7">
      <c r="A7" s="5"/>
      <c r="C7" s="5"/>
    </row>
    <row r="14" spans="1:7">
      <c r="A14" s="4" t="s">
        <v>75</v>
      </c>
      <c r="E14" s="4" t="s">
        <v>76</v>
      </c>
    </row>
    <row r="16" spans="1:7">
      <c r="A16" s="32"/>
      <c r="B16" s="5"/>
      <c r="E1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 tint="-0.34998626667073579"/>
  </sheetPr>
  <dimension ref="A1:L56"/>
  <sheetViews>
    <sheetView showGridLines="0" zoomScale="115" zoomScaleNormal="115" workbookViewId="0">
      <selection activeCell="E8" sqref="E8"/>
    </sheetView>
  </sheetViews>
  <sheetFormatPr defaultRowHeight="14.45"/>
  <cols>
    <col min="1" max="1" width="10.7109375" customWidth="1"/>
    <col min="2" max="2" width="15.5703125" bestFit="1" customWidth="1"/>
    <col min="3" max="3" width="10.28515625" customWidth="1"/>
    <col min="5" max="5" width="14.7109375" bestFit="1" customWidth="1"/>
    <col min="6" max="6" width="9.7109375" customWidth="1"/>
  </cols>
  <sheetData>
    <row r="1" spans="1:12" ht="18">
      <c r="A1" s="1" t="s">
        <v>77</v>
      </c>
      <c r="B1" s="1"/>
      <c r="C1" s="1"/>
      <c r="D1" s="1"/>
      <c r="E1" s="1"/>
      <c r="F1" s="1"/>
      <c r="G1" s="19"/>
      <c r="H1" s="2"/>
      <c r="I1" s="2"/>
      <c r="J1" s="2"/>
      <c r="L1" s="12" t="b">
        <v>0</v>
      </c>
    </row>
    <row r="2" spans="1:12">
      <c r="L2" s="12" t="b">
        <v>0</v>
      </c>
    </row>
    <row r="3" spans="1:12">
      <c r="A3" s="11">
        <v>1</v>
      </c>
      <c r="B3" s="11" t="s">
        <v>78</v>
      </c>
      <c r="C3" s="11"/>
      <c r="D3" s="11"/>
      <c r="E3" s="11"/>
      <c r="F3" s="11"/>
      <c r="G3" s="11"/>
      <c r="H3" s="11"/>
      <c r="I3" s="11"/>
      <c r="J3" s="11"/>
      <c r="K3" s="11"/>
      <c r="L3" s="12" t="b">
        <v>0</v>
      </c>
    </row>
    <row r="4" spans="1:12">
      <c r="A4" s="11">
        <v>2</v>
      </c>
      <c r="B4" s="11" t="s">
        <v>79</v>
      </c>
      <c r="C4" s="11"/>
      <c r="D4" s="11"/>
      <c r="E4" s="11"/>
      <c r="F4" s="11"/>
      <c r="G4" s="11"/>
      <c r="H4" s="11"/>
      <c r="I4" s="11"/>
      <c r="K4" s="11"/>
    </row>
    <row r="5" spans="1:12" ht="14.45" customHeight="1">
      <c r="A5" s="11">
        <v>3</v>
      </c>
      <c r="B5" s="11" t="s">
        <v>80</v>
      </c>
      <c r="C5" s="11"/>
      <c r="D5" s="11"/>
      <c r="E5" s="11"/>
      <c r="F5" s="11"/>
      <c r="G5" s="11"/>
      <c r="H5" s="11"/>
      <c r="I5" s="11"/>
      <c r="J5" s="13" t="s">
        <v>81</v>
      </c>
      <c r="K5" s="11"/>
    </row>
    <row r="7" spans="1:12" ht="15" thickBot="1">
      <c r="A7" s="14" t="s">
        <v>82</v>
      </c>
      <c r="B7" s="14" t="s">
        <v>83</v>
      </c>
      <c r="C7" s="14" t="s">
        <v>84</v>
      </c>
      <c r="E7" s="15" t="s">
        <v>83</v>
      </c>
      <c r="F7" s="15" t="s">
        <v>84</v>
      </c>
    </row>
    <row r="8" spans="1:12">
      <c r="A8" s="6">
        <v>43466</v>
      </c>
      <c r="B8" t="s">
        <v>15</v>
      </c>
      <c r="C8">
        <v>5</v>
      </c>
      <c r="E8" s="5"/>
      <c r="F8" s="5"/>
    </row>
    <row r="9" spans="1:12">
      <c r="A9" s="6">
        <v>43470</v>
      </c>
      <c r="B9" t="s">
        <v>27</v>
      </c>
      <c r="C9">
        <v>6</v>
      </c>
    </row>
    <row r="10" spans="1:12">
      <c r="A10" s="6">
        <v>43474</v>
      </c>
      <c r="B10" t="s">
        <v>8</v>
      </c>
      <c r="C10">
        <v>1</v>
      </c>
    </row>
    <row r="11" spans="1:12">
      <c r="A11" s="6">
        <v>43477</v>
      </c>
      <c r="B11" t="s">
        <v>57</v>
      </c>
      <c r="C11">
        <v>9</v>
      </c>
    </row>
    <row r="12" spans="1:12">
      <c r="A12" s="6">
        <v>43482</v>
      </c>
      <c r="B12" t="s">
        <v>11</v>
      </c>
      <c r="C12">
        <v>2</v>
      </c>
    </row>
    <row r="13" spans="1:12">
      <c r="A13" s="6">
        <v>43485</v>
      </c>
      <c r="B13" t="s">
        <v>27</v>
      </c>
      <c r="C13">
        <v>3</v>
      </c>
    </row>
    <row r="14" spans="1:12">
      <c r="A14" s="6">
        <v>43490</v>
      </c>
      <c r="B14" t="s">
        <v>43</v>
      </c>
      <c r="C14">
        <v>4</v>
      </c>
    </row>
    <row r="15" spans="1:12">
      <c r="A15" s="6">
        <v>43492</v>
      </c>
      <c r="B15" t="s">
        <v>61</v>
      </c>
      <c r="C15">
        <v>9</v>
      </c>
    </row>
    <row r="16" spans="1:12">
      <c r="A16" s="6">
        <v>43493</v>
      </c>
      <c r="B16" t="s">
        <v>11</v>
      </c>
      <c r="C16">
        <v>10</v>
      </c>
    </row>
    <row r="17" spans="1:3">
      <c r="A17" s="6">
        <v>43498</v>
      </c>
      <c r="B17" t="s">
        <v>31</v>
      </c>
      <c r="C17">
        <v>7</v>
      </c>
    </row>
    <row r="18" spans="1:3">
      <c r="A18" s="6">
        <v>43501</v>
      </c>
      <c r="B18" t="s">
        <v>61</v>
      </c>
      <c r="C18">
        <v>10</v>
      </c>
    </row>
    <row r="19" spans="1:3">
      <c r="A19" s="6">
        <v>43505</v>
      </c>
      <c r="B19" t="s">
        <v>57</v>
      </c>
      <c r="C19">
        <v>8</v>
      </c>
    </row>
    <row r="20" spans="1:3">
      <c r="A20" s="6">
        <v>43509</v>
      </c>
      <c r="B20" t="s">
        <v>11</v>
      </c>
      <c r="C20">
        <v>10</v>
      </c>
    </row>
    <row r="21" spans="1:3">
      <c r="A21" s="6">
        <v>43515</v>
      </c>
      <c r="B21" t="s">
        <v>15</v>
      </c>
      <c r="C21">
        <v>4</v>
      </c>
    </row>
    <row r="22" spans="1:3">
      <c r="A22" s="6">
        <v>43520</v>
      </c>
      <c r="B22" t="s">
        <v>15</v>
      </c>
      <c r="C22">
        <v>9</v>
      </c>
    </row>
    <row r="23" spans="1:3">
      <c r="A23" s="6">
        <v>43525</v>
      </c>
      <c r="B23" t="s">
        <v>43</v>
      </c>
      <c r="C23">
        <v>8</v>
      </c>
    </row>
    <row r="24" spans="1:3">
      <c r="A24" s="6">
        <v>43530</v>
      </c>
      <c r="B24" t="s">
        <v>31</v>
      </c>
      <c r="C24">
        <v>3</v>
      </c>
    </row>
    <row r="25" spans="1:3">
      <c r="A25" s="6">
        <v>43532</v>
      </c>
      <c r="B25" t="s">
        <v>31</v>
      </c>
      <c r="C25">
        <v>10</v>
      </c>
    </row>
    <row r="26" spans="1:3">
      <c r="A26" s="6">
        <v>43533</v>
      </c>
      <c r="B26" t="s">
        <v>31</v>
      </c>
      <c r="C26">
        <v>4</v>
      </c>
    </row>
    <row r="27" spans="1:3">
      <c r="A27" s="6">
        <v>43534</v>
      </c>
      <c r="B27" t="s">
        <v>35</v>
      </c>
      <c r="C27">
        <v>4</v>
      </c>
    </row>
    <row r="28" spans="1:3">
      <c r="A28" s="6">
        <v>43539</v>
      </c>
      <c r="B28" t="s">
        <v>61</v>
      </c>
      <c r="C28">
        <v>5</v>
      </c>
    </row>
    <row r="29" spans="1:3">
      <c r="A29" s="6">
        <v>43541</v>
      </c>
      <c r="B29" t="s">
        <v>27</v>
      </c>
      <c r="C29">
        <v>8</v>
      </c>
    </row>
    <row r="30" spans="1:3">
      <c r="A30" s="6">
        <v>43547</v>
      </c>
      <c r="B30" t="s">
        <v>11</v>
      </c>
      <c r="C30">
        <v>8</v>
      </c>
    </row>
    <row r="31" spans="1:3">
      <c r="A31" s="6">
        <v>43549</v>
      </c>
      <c r="B31" t="s">
        <v>15</v>
      </c>
      <c r="C31">
        <v>8</v>
      </c>
    </row>
    <row r="32" spans="1:3">
      <c r="A32" s="6">
        <v>43553</v>
      </c>
      <c r="B32" t="s">
        <v>8</v>
      </c>
      <c r="C32">
        <v>10</v>
      </c>
    </row>
    <row r="33" spans="1:3">
      <c r="A33" s="6">
        <v>43558</v>
      </c>
      <c r="B33" t="s">
        <v>8</v>
      </c>
      <c r="C33">
        <v>3</v>
      </c>
    </row>
    <row r="34" spans="1:3">
      <c r="A34" s="6">
        <v>43561</v>
      </c>
      <c r="B34" t="s">
        <v>8</v>
      </c>
      <c r="C34">
        <v>8</v>
      </c>
    </row>
    <row r="35" spans="1:3">
      <c r="A35" s="6">
        <v>43563</v>
      </c>
      <c r="B35" t="s">
        <v>15</v>
      </c>
      <c r="C35">
        <v>11</v>
      </c>
    </row>
    <row r="36" spans="1:3">
      <c r="A36" s="6">
        <v>43565</v>
      </c>
      <c r="B36" t="s">
        <v>61</v>
      </c>
      <c r="C36">
        <v>10</v>
      </c>
    </row>
    <row r="37" spans="1:3">
      <c r="A37" s="6">
        <v>43570</v>
      </c>
      <c r="B37" t="s">
        <v>35</v>
      </c>
      <c r="C37">
        <v>9</v>
      </c>
    </row>
    <row r="38" spans="1:3">
      <c r="A38" s="6">
        <v>43571</v>
      </c>
      <c r="B38" t="s">
        <v>8</v>
      </c>
      <c r="C38">
        <v>11</v>
      </c>
    </row>
    <row r="39" spans="1:3">
      <c r="A39" s="6">
        <v>43577</v>
      </c>
      <c r="B39" t="s">
        <v>31</v>
      </c>
      <c r="C39">
        <v>8</v>
      </c>
    </row>
    <row r="40" spans="1:3">
      <c r="A40" s="6">
        <v>43581</v>
      </c>
      <c r="B40" t="s">
        <v>61</v>
      </c>
      <c r="C40">
        <v>7</v>
      </c>
    </row>
    <row r="41" spans="1:3">
      <c r="A41" s="6">
        <v>43582</v>
      </c>
      <c r="B41" t="s">
        <v>27</v>
      </c>
      <c r="C41">
        <v>8</v>
      </c>
    </row>
    <row r="42" spans="1:3">
      <c r="A42" s="6">
        <v>43584</v>
      </c>
      <c r="B42" t="s">
        <v>27</v>
      </c>
      <c r="C42">
        <v>7</v>
      </c>
    </row>
    <row r="43" spans="1:3">
      <c r="A43" s="6">
        <v>43590</v>
      </c>
      <c r="B43" t="s">
        <v>27</v>
      </c>
      <c r="C43">
        <v>6</v>
      </c>
    </row>
    <row r="44" spans="1:3">
      <c r="A44" s="6">
        <v>43591</v>
      </c>
      <c r="B44" t="s">
        <v>8</v>
      </c>
      <c r="C44">
        <v>9</v>
      </c>
    </row>
    <row r="45" spans="1:3">
      <c r="A45" s="6">
        <v>43596</v>
      </c>
      <c r="B45" t="s">
        <v>11</v>
      </c>
      <c r="C45">
        <v>9</v>
      </c>
    </row>
    <row r="46" spans="1:3">
      <c r="A46" s="6">
        <v>43597</v>
      </c>
      <c r="B46" t="s">
        <v>11</v>
      </c>
      <c r="C46">
        <v>8</v>
      </c>
    </row>
    <row r="47" spans="1:3">
      <c r="A47" s="6">
        <v>43601</v>
      </c>
      <c r="B47" t="s">
        <v>35</v>
      </c>
      <c r="C47">
        <v>11</v>
      </c>
    </row>
    <row r="48" spans="1:3">
      <c r="A48" s="6">
        <v>43604</v>
      </c>
      <c r="B48" t="s">
        <v>27</v>
      </c>
      <c r="C48">
        <v>5</v>
      </c>
    </row>
    <row r="49" spans="1:3">
      <c r="A49" s="6">
        <v>43609</v>
      </c>
      <c r="B49" t="s">
        <v>8</v>
      </c>
      <c r="C49">
        <v>6</v>
      </c>
    </row>
    <row r="50" spans="1:3">
      <c r="A50" s="6">
        <v>43615</v>
      </c>
      <c r="B50" t="s">
        <v>11</v>
      </c>
      <c r="C50">
        <v>8</v>
      </c>
    </row>
    <row r="51" spans="1:3">
      <c r="A51" s="6">
        <v>43618</v>
      </c>
      <c r="B51" t="s">
        <v>8</v>
      </c>
      <c r="C51">
        <v>8</v>
      </c>
    </row>
    <row r="52" spans="1:3">
      <c r="A52" s="6">
        <v>43622</v>
      </c>
      <c r="B52" t="s">
        <v>35</v>
      </c>
      <c r="C52">
        <v>9</v>
      </c>
    </row>
    <row r="53" spans="1:3">
      <c r="A53" s="6">
        <v>43625</v>
      </c>
      <c r="B53" t="s">
        <v>8</v>
      </c>
      <c r="C53">
        <v>7</v>
      </c>
    </row>
    <row r="54" spans="1:3">
      <c r="A54" s="6">
        <v>43626</v>
      </c>
      <c r="B54" t="s">
        <v>31</v>
      </c>
      <c r="C54">
        <v>3</v>
      </c>
    </row>
    <row r="55" spans="1:3">
      <c r="A55" s="6">
        <v>43630</v>
      </c>
      <c r="B55" t="s">
        <v>43</v>
      </c>
      <c r="C55">
        <v>8</v>
      </c>
    </row>
    <row r="56" spans="1:3">
      <c r="A56" s="6">
        <v>43634</v>
      </c>
      <c r="B56" t="s">
        <v>11</v>
      </c>
      <c r="C56">
        <v>10</v>
      </c>
    </row>
  </sheetData>
  <conditionalFormatting sqref="J5">
    <cfRule type="expression" dxfId="0" priority="1">
      <formula>AND($L$1,$L$2,$L$3)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7</xdr:col>
                    <xdr:colOff>15240</xdr:colOff>
                    <xdr:row>1</xdr:row>
                    <xdr:rowOff>175260</xdr:rowOff>
                  </from>
                  <to>
                    <xdr:col>8</xdr:col>
                    <xdr:colOff>228600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7</xdr:col>
                    <xdr:colOff>15240</xdr:colOff>
                    <xdr:row>3</xdr:row>
                    <xdr:rowOff>15240</xdr:rowOff>
                  </from>
                  <to>
                    <xdr:col>8</xdr:col>
                    <xdr:colOff>228600</xdr:colOff>
                    <xdr:row>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7</xdr:col>
                    <xdr:colOff>15240</xdr:colOff>
                    <xdr:row>4</xdr:row>
                    <xdr:rowOff>22860</xdr:rowOff>
                  </from>
                  <to>
                    <xdr:col>8</xdr:col>
                    <xdr:colOff>228600</xdr:colOff>
                    <xdr:row>5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B396-DC01-437E-88D1-92637E446D45}">
  <dimension ref="A1:G347"/>
  <sheetViews>
    <sheetView workbookViewId="0">
      <selection activeCell="C11" sqref="C11"/>
    </sheetView>
  </sheetViews>
  <sheetFormatPr defaultRowHeight="14.45"/>
  <cols>
    <col min="1" max="1" width="3.28515625" customWidth="1"/>
    <col min="2" max="2" width="15.42578125" bestFit="1" customWidth="1"/>
    <col min="3" max="3" width="13" customWidth="1"/>
    <col min="4" max="4" width="11.28515625" customWidth="1"/>
    <col min="5" max="5" width="14.28515625" style="41" customWidth="1"/>
    <col min="6" max="6" width="16.7109375" customWidth="1"/>
    <col min="8" max="8" width="11.7109375" bestFit="1" customWidth="1"/>
  </cols>
  <sheetData>
    <row r="1" spans="1:7" ht="18">
      <c r="A1" s="1" t="s">
        <v>85</v>
      </c>
      <c r="B1" s="1"/>
      <c r="C1" s="1"/>
      <c r="D1" s="1"/>
      <c r="E1" s="1"/>
      <c r="F1" s="1"/>
      <c r="G1" s="18"/>
    </row>
    <row r="3" spans="1:7">
      <c r="B3" s="33" t="s">
        <v>86</v>
      </c>
      <c r="C3" s="34">
        <v>2</v>
      </c>
    </row>
    <row r="4" spans="1:7">
      <c r="B4" s="35" t="s">
        <v>87</v>
      </c>
      <c r="C4" s="36">
        <v>0.06</v>
      </c>
    </row>
    <row r="5" spans="1:7">
      <c r="B5" s="35" t="s">
        <v>88</v>
      </c>
      <c r="C5" s="37">
        <v>40000</v>
      </c>
    </row>
    <row r="6" spans="1:7">
      <c r="B6" s="16" t="s">
        <v>89</v>
      </c>
      <c r="C6" s="46">
        <f>-PMT(C4/12,C3*12,C5)</f>
        <v>1772.8244101102757</v>
      </c>
    </row>
    <row r="9" spans="1:7" ht="15" thickBot="1">
      <c r="B9" s="38" t="s">
        <v>90</v>
      </c>
      <c r="C9" s="38" t="s">
        <v>91</v>
      </c>
      <c r="D9" s="38" t="s">
        <v>92</v>
      </c>
      <c r="E9" s="42" t="s">
        <v>93</v>
      </c>
    </row>
    <row r="10" spans="1:7">
      <c r="C10" s="39"/>
      <c r="D10" s="39"/>
      <c r="E10" s="43"/>
    </row>
    <row r="11" spans="1:7">
      <c r="B11" s="5"/>
      <c r="C11" s="17"/>
      <c r="D11" s="17"/>
    </row>
    <row r="12" spans="1:7">
      <c r="C12" s="3"/>
      <c r="D12" s="3"/>
    </row>
    <row r="13" spans="1:7">
      <c r="C13" s="3"/>
      <c r="D13" s="3"/>
    </row>
    <row r="14" spans="1:7">
      <c r="C14" s="3"/>
      <c r="D14" s="3"/>
    </row>
    <row r="15" spans="1:7">
      <c r="C15" s="3"/>
      <c r="D15" s="3"/>
    </row>
    <row r="16" spans="1:7">
      <c r="C16" s="3"/>
      <c r="D16" s="3"/>
    </row>
    <row r="17" spans="3:4">
      <c r="C17" s="3"/>
      <c r="D17" s="3"/>
    </row>
    <row r="18" spans="3:4">
      <c r="C18" s="3"/>
      <c r="D18" s="3"/>
    </row>
    <row r="19" spans="3:4">
      <c r="C19" s="3"/>
      <c r="D19" s="3"/>
    </row>
    <row r="20" spans="3:4">
      <c r="C20" s="3"/>
      <c r="D20" s="3"/>
    </row>
    <row r="21" spans="3:4">
      <c r="C21" s="3"/>
      <c r="D21" s="3"/>
    </row>
    <row r="22" spans="3:4">
      <c r="C22" s="3"/>
      <c r="D22" s="3"/>
    </row>
    <row r="23" spans="3:4">
      <c r="C23" s="3"/>
      <c r="D23" s="3"/>
    </row>
    <row r="24" spans="3:4">
      <c r="C24" s="3"/>
      <c r="D24" s="3"/>
    </row>
    <row r="25" spans="3:4">
      <c r="C25" s="3"/>
      <c r="D25" s="3"/>
    </row>
    <row r="26" spans="3:4">
      <c r="C26" s="3"/>
      <c r="D26" s="3"/>
    </row>
    <row r="27" spans="3:4">
      <c r="C27" s="3"/>
      <c r="D27" s="3"/>
    </row>
    <row r="28" spans="3:4">
      <c r="C28" s="3"/>
      <c r="D28" s="3"/>
    </row>
    <row r="29" spans="3:4">
      <c r="C29" s="3"/>
      <c r="D29" s="3"/>
    </row>
    <row r="30" spans="3:4">
      <c r="C30" s="3"/>
      <c r="D30" s="3"/>
    </row>
    <row r="31" spans="3:4">
      <c r="C31" s="3"/>
      <c r="D31" s="3"/>
    </row>
    <row r="32" spans="3:4">
      <c r="C32" s="3"/>
      <c r="D32" s="3"/>
    </row>
    <row r="33" spans="3:4">
      <c r="C33" s="3"/>
      <c r="D33" s="3"/>
    </row>
    <row r="34" spans="3:4">
      <c r="C34" s="3"/>
      <c r="D34" s="3"/>
    </row>
    <row r="35" spans="3:4">
      <c r="C35" s="3"/>
      <c r="D35" s="3"/>
    </row>
    <row r="36" spans="3:4">
      <c r="C36" s="3"/>
      <c r="D36" s="3"/>
    </row>
    <row r="37" spans="3:4">
      <c r="C37" s="3"/>
      <c r="D37" s="3"/>
    </row>
    <row r="38" spans="3:4">
      <c r="C38" s="3"/>
      <c r="D38" s="3"/>
    </row>
    <row r="39" spans="3:4">
      <c r="C39" s="3"/>
      <c r="D39" s="3"/>
    </row>
    <row r="40" spans="3:4">
      <c r="C40" s="3"/>
      <c r="D40" s="3"/>
    </row>
    <row r="41" spans="3:4">
      <c r="C41" s="3"/>
      <c r="D41" s="3"/>
    </row>
    <row r="42" spans="3:4">
      <c r="C42" s="3"/>
      <c r="D42" s="3"/>
    </row>
    <row r="43" spans="3:4">
      <c r="C43" s="3"/>
      <c r="D43" s="3"/>
    </row>
    <row r="44" spans="3:4">
      <c r="C44" s="3"/>
      <c r="D44" s="3"/>
    </row>
    <row r="45" spans="3:4">
      <c r="C45" s="3"/>
      <c r="D45" s="3"/>
    </row>
    <row r="46" spans="3:4">
      <c r="C46" s="3"/>
      <c r="D46" s="3"/>
    </row>
    <row r="47" spans="3:4">
      <c r="C47" s="3"/>
      <c r="D47" s="3"/>
    </row>
    <row r="48" spans="3:4">
      <c r="C48" s="3"/>
      <c r="D48" s="3"/>
    </row>
    <row r="49" spans="3:4">
      <c r="C49" s="3"/>
      <c r="D49" s="3"/>
    </row>
    <row r="50" spans="3:4">
      <c r="C50" s="3"/>
      <c r="D50" s="3"/>
    </row>
    <row r="51" spans="3:4">
      <c r="C51" s="3"/>
      <c r="D51" s="3"/>
    </row>
    <row r="52" spans="3:4">
      <c r="C52" s="3"/>
      <c r="D52" s="3"/>
    </row>
    <row r="53" spans="3:4">
      <c r="C53" s="3"/>
      <c r="D53" s="3"/>
    </row>
    <row r="54" spans="3:4">
      <c r="C54" s="3"/>
      <c r="D54" s="3"/>
    </row>
    <row r="55" spans="3:4">
      <c r="C55" s="3"/>
      <c r="D55" s="3"/>
    </row>
    <row r="56" spans="3:4">
      <c r="C56" s="3"/>
      <c r="D56" s="3"/>
    </row>
    <row r="57" spans="3:4">
      <c r="C57" s="3"/>
      <c r="D57" s="3"/>
    </row>
    <row r="58" spans="3:4">
      <c r="C58" s="3"/>
      <c r="D58" s="3"/>
    </row>
    <row r="59" spans="3:4">
      <c r="C59" s="3"/>
      <c r="D59" s="3"/>
    </row>
    <row r="60" spans="3:4">
      <c r="C60" s="3"/>
      <c r="D60" s="3"/>
    </row>
    <row r="61" spans="3:4">
      <c r="C61" s="3"/>
      <c r="D61" s="3"/>
    </row>
    <row r="62" spans="3:4">
      <c r="C62" s="3"/>
      <c r="D62" s="3"/>
    </row>
    <row r="63" spans="3:4">
      <c r="C63" s="3"/>
      <c r="D63" s="3"/>
    </row>
    <row r="64" spans="3:4">
      <c r="C64" s="3"/>
      <c r="D64" s="3"/>
    </row>
    <row r="65" spans="3:4">
      <c r="C65" s="3"/>
      <c r="D65" s="3"/>
    </row>
    <row r="66" spans="3:4">
      <c r="C66" s="3"/>
      <c r="D66" s="3"/>
    </row>
    <row r="67" spans="3:4">
      <c r="C67" s="3"/>
      <c r="D67" s="3"/>
    </row>
    <row r="68" spans="3:4">
      <c r="C68" s="3"/>
      <c r="D68" s="3"/>
    </row>
    <row r="69" spans="3:4">
      <c r="C69" s="3"/>
      <c r="D69" s="3"/>
    </row>
    <row r="70" spans="3:4">
      <c r="C70" s="3"/>
      <c r="D70" s="3"/>
    </row>
    <row r="71" spans="3:4">
      <c r="C71" s="3"/>
      <c r="D71" s="3"/>
    </row>
    <row r="72" spans="3:4">
      <c r="C72" s="3"/>
      <c r="D72" s="3"/>
    </row>
    <row r="73" spans="3:4">
      <c r="C73" s="3"/>
      <c r="D73" s="3"/>
    </row>
    <row r="74" spans="3:4">
      <c r="C74" s="3"/>
      <c r="D74" s="3"/>
    </row>
    <row r="75" spans="3:4">
      <c r="C75" s="3"/>
      <c r="D75" s="3"/>
    </row>
    <row r="76" spans="3:4">
      <c r="C76" s="3"/>
      <c r="D76" s="3"/>
    </row>
    <row r="77" spans="3:4">
      <c r="C77" s="3"/>
      <c r="D77" s="3"/>
    </row>
    <row r="78" spans="3:4">
      <c r="C78" s="3"/>
      <c r="D78" s="3"/>
    </row>
    <row r="79" spans="3:4">
      <c r="C79" s="3"/>
      <c r="D79" s="3"/>
    </row>
    <row r="80" spans="3:4">
      <c r="C80" s="3"/>
      <c r="D80" s="3"/>
    </row>
    <row r="81" spans="3:4">
      <c r="C81" s="3"/>
      <c r="D81" s="3"/>
    </row>
    <row r="82" spans="3:4">
      <c r="C82" s="3"/>
      <c r="D82" s="3"/>
    </row>
    <row r="83" spans="3:4">
      <c r="C83" s="3"/>
      <c r="D83" s="3"/>
    </row>
    <row r="84" spans="3:4">
      <c r="C84" s="3"/>
      <c r="D84" s="3"/>
    </row>
    <row r="85" spans="3:4">
      <c r="C85" s="3"/>
      <c r="D85" s="3"/>
    </row>
    <row r="86" spans="3:4">
      <c r="C86" s="3"/>
      <c r="D86" s="3"/>
    </row>
    <row r="87" spans="3:4">
      <c r="C87" s="3"/>
      <c r="D87" s="3"/>
    </row>
    <row r="88" spans="3:4">
      <c r="C88" s="3"/>
      <c r="D88" s="3"/>
    </row>
    <row r="89" spans="3:4">
      <c r="C89" s="3"/>
      <c r="D89" s="3"/>
    </row>
    <row r="90" spans="3:4">
      <c r="C90" s="3"/>
      <c r="D90" s="3"/>
    </row>
    <row r="91" spans="3:4">
      <c r="C91" s="3"/>
      <c r="D91" s="3"/>
    </row>
    <row r="92" spans="3:4">
      <c r="C92" s="3"/>
      <c r="D92" s="3"/>
    </row>
    <row r="93" spans="3:4">
      <c r="C93" s="3"/>
      <c r="D93" s="3"/>
    </row>
    <row r="94" spans="3:4">
      <c r="C94" s="3"/>
      <c r="D94" s="3"/>
    </row>
    <row r="95" spans="3:4">
      <c r="C95" s="3"/>
      <c r="D95" s="3"/>
    </row>
    <row r="96" spans="3:4">
      <c r="C96" s="3"/>
      <c r="D96" s="3"/>
    </row>
    <row r="97" spans="3:4">
      <c r="C97" s="3"/>
      <c r="D97" s="3"/>
    </row>
    <row r="98" spans="3:4">
      <c r="C98" s="3"/>
      <c r="D98" s="3"/>
    </row>
    <row r="99" spans="3:4">
      <c r="C99" s="3"/>
      <c r="D99" s="3"/>
    </row>
    <row r="100" spans="3:4">
      <c r="C100" s="3"/>
      <c r="D100" s="3"/>
    </row>
    <row r="101" spans="3:4">
      <c r="C101" s="3"/>
      <c r="D101" s="3"/>
    </row>
    <row r="102" spans="3:4">
      <c r="C102" s="3"/>
      <c r="D102" s="3"/>
    </row>
    <row r="103" spans="3:4">
      <c r="C103" s="3"/>
      <c r="D103" s="3"/>
    </row>
    <row r="104" spans="3:4">
      <c r="C104" s="3"/>
      <c r="D104" s="3"/>
    </row>
    <row r="105" spans="3:4">
      <c r="C105" s="3"/>
      <c r="D105" s="3"/>
    </row>
    <row r="106" spans="3:4">
      <c r="C106" s="3"/>
      <c r="D106" s="3"/>
    </row>
    <row r="107" spans="3:4">
      <c r="C107" s="3"/>
      <c r="D107" s="3"/>
    </row>
    <row r="108" spans="3:4">
      <c r="C108" s="3"/>
      <c r="D108" s="3"/>
    </row>
    <row r="109" spans="3:4">
      <c r="C109" s="3"/>
      <c r="D109" s="3"/>
    </row>
    <row r="110" spans="3:4">
      <c r="C110" s="3"/>
      <c r="D110" s="3"/>
    </row>
    <row r="111" spans="3:4">
      <c r="C111" s="3"/>
      <c r="D111" s="3"/>
    </row>
    <row r="112" spans="3:4">
      <c r="C112" s="3"/>
      <c r="D112" s="3"/>
    </row>
    <row r="113" spans="3:4">
      <c r="C113" s="3"/>
      <c r="D113" s="3"/>
    </row>
    <row r="114" spans="3:4">
      <c r="C114" s="3"/>
      <c r="D114" s="3"/>
    </row>
    <row r="115" spans="3:4">
      <c r="C115" s="3"/>
      <c r="D115" s="3"/>
    </row>
    <row r="116" spans="3:4">
      <c r="C116" s="3"/>
      <c r="D116" s="3"/>
    </row>
    <row r="117" spans="3:4">
      <c r="C117" s="3"/>
      <c r="D117" s="3"/>
    </row>
    <row r="118" spans="3:4">
      <c r="C118" s="3"/>
      <c r="D118" s="3"/>
    </row>
    <row r="119" spans="3:4">
      <c r="C119" s="3"/>
      <c r="D119" s="3"/>
    </row>
    <row r="120" spans="3:4">
      <c r="C120" s="3"/>
      <c r="D120" s="3"/>
    </row>
    <row r="121" spans="3:4">
      <c r="C121" s="3"/>
      <c r="D121" s="3"/>
    </row>
    <row r="122" spans="3:4">
      <c r="C122" s="3"/>
      <c r="D122" s="3"/>
    </row>
    <row r="123" spans="3:4">
      <c r="C123" s="3"/>
      <c r="D123" s="3"/>
    </row>
    <row r="124" spans="3:4">
      <c r="C124" s="3"/>
      <c r="D124" s="3"/>
    </row>
    <row r="125" spans="3:4">
      <c r="C125" s="3"/>
      <c r="D125" s="3"/>
    </row>
    <row r="126" spans="3:4">
      <c r="C126" s="3"/>
      <c r="D126" s="3"/>
    </row>
    <row r="127" spans="3:4">
      <c r="C127" s="3"/>
      <c r="D127" s="3"/>
    </row>
    <row r="128" spans="3:4">
      <c r="C128" s="3"/>
      <c r="D128" s="3"/>
    </row>
    <row r="129" spans="3:4">
      <c r="C129" s="3"/>
      <c r="D129" s="3"/>
    </row>
    <row r="130" spans="3:4">
      <c r="C130" s="3"/>
      <c r="D130" s="3"/>
    </row>
    <row r="131" spans="3:4">
      <c r="C131" s="40"/>
      <c r="D131" s="40"/>
    </row>
    <row r="132" spans="3:4">
      <c r="C132" s="40"/>
      <c r="D132" s="40"/>
    </row>
    <row r="133" spans="3:4">
      <c r="C133" s="40"/>
      <c r="D133" s="40"/>
    </row>
    <row r="134" spans="3:4">
      <c r="C134" s="40"/>
      <c r="D134" s="40"/>
    </row>
    <row r="135" spans="3:4">
      <c r="C135" s="40"/>
      <c r="D135" s="40"/>
    </row>
    <row r="136" spans="3:4">
      <c r="C136" s="40"/>
      <c r="D136" s="40"/>
    </row>
    <row r="137" spans="3:4">
      <c r="C137" s="40"/>
      <c r="D137" s="40"/>
    </row>
    <row r="138" spans="3:4">
      <c r="C138" s="40"/>
      <c r="D138" s="40"/>
    </row>
    <row r="139" spans="3:4">
      <c r="C139" s="40"/>
      <c r="D139" s="40"/>
    </row>
    <row r="140" spans="3:4">
      <c r="C140" s="40"/>
      <c r="D140" s="40"/>
    </row>
    <row r="141" spans="3:4">
      <c r="C141" s="40"/>
      <c r="D141" s="40"/>
    </row>
    <row r="142" spans="3:4">
      <c r="C142" s="40"/>
      <c r="D142" s="40"/>
    </row>
    <row r="143" spans="3:4">
      <c r="C143" s="40"/>
      <c r="D143" s="40"/>
    </row>
    <row r="144" spans="3:4">
      <c r="C144" s="40"/>
      <c r="D144" s="40"/>
    </row>
    <row r="145" spans="3:4">
      <c r="C145" s="40"/>
      <c r="D145" s="40"/>
    </row>
    <row r="146" spans="3:4">
      <c r="C146" s="40"/>
      <c r="D146" s="40"/>
    </row>
    <row r="147" spans="3:4">
      <c r="C147" s="40"/>
      <c r="D147" s="40"/>
    </row>
    <row r="148" spans="3:4">
      <c r="C148" s="40"/>
      <c r="D148" s="40"/>
    </row>
    <row r="149" spans="3:4">
      <c r="C149" s="40"/>
      <c r="D149" s="40"/>
    </row>
    <row r="150" spans="3:4">
      <c r="C150" s="40"/>
      <c r="D150" s="40"/>
    </row>
    <row r="151" spans="3:4">
      <c r="C151" s="40"/>
      <c r="D151" s="40"/>
    </row>
    <row r="152" spans="3:4">
      <c r="C152" s="40"/>
      <c r="D152" s="40"/>
    </row>
    <row r="153" spans="3:4">
      <c r="C153" s="40"/>
      <c r="D153" s="40"/>
    </row>
    <row r="154" spans="3:4">
      <c r="C154" s="40"/>
      <c r="D154" s="40"/>
    </row>
    <row r="155" spans="3:4">
      <c r="C155" s="40"/>
      <c r="D155" s="40"/>
    </row>
    <row r="156" spans="3:4">
      <c r="C156" s="40"/>
      <c r="D156" s="40"/>
    </row>
    <row r="157" spans="3:4">
      <c r="C157" s="40"/>
      <c r="D157" s="40"/>
    </row>
    <row r="158" spans="3:4">
      <c r="C158" s="40"/>
      <c r="D158" s="40"/>
    </row>
    <row r="159" spans="3:4">
      <c r="C159" s="40"/>
      <c r="D159" s="40"/>
    </row>
    <row r="160" spans="3:4">
      <c r="C160" s="40"/>
      <c r="D160" s="40"/>
    </row>
    <row r="161" spans="3:4">
      <c r="C161" s="40"/>
      <c r="D161" s="40"/>
    </row>
    <row r="162" spans="3:4">
      <c r="C162" s="40"/>
      <c r="D162" s="40"/>
    </row>
    <row r="163" spans="3:4">
      <c r="C163" s="40"/>
      <c r="D163" s="40"/>
    </row>
    <row r="164" spans="3:4">
      <c r="C164" s="40"/>
      <c r="D164" s="40"/>
    </row>
    <row r="165" spans="3:4">
      <c r="C165" s="40"/>
      <c r="D165" s="40"/>
    </row>
    <row r="166" spans="3:4">
      <c r="C166" s="40"/>
      <c r="D166" s="40"/>
    </row>
    <row r="167" spans="3:4">
      <c r="C167" s="40"/>
      <c r="D167" s="40"/>
    </row>
    <row r="168" spans="3:4">
      <c r="C168" s="40"/>
      <c r="D168" s="40"/>
    </row>
    <row r="169" spans="3:4">
      <c r="C169" s="40"/>
      <c r="D169" s="40"/>
    </row>
    <row r="170" spans="3:4">
      <c r="C170" s="40"/>
      <c r="D170" s="40"/>
    </row>
    <row r="171" spans="3:4">
      <c r="C171" s="40"/>
      <c r="D171" s="40"/>
    </row>
    <row r="172" spans="3:4">
      <c r="C172" s="40"/>
      <c r="D172" s="40"/>
    </row>
    <row r="173" spans="3:4">
      <c r="C173" s="40"/>
      <c r="D173" s="40"/>
    </row>
    <row r="174" spans="3:4">
      <c r="C174" s="40"/>
      <c r="D174" s="40"/>
    </row>
    <row r="175" spans="3:4">
      <c r="C175" s="40"/>
      <c r="D175" s="40"/>
    </row>
    <row r="176" spans="3:4">
      <c r="C176" s="40"/>
      <c r="D176" s="40"/>
    </row>
    <row r="177" spans="3:4">
      <c r="C177" s="40"/>
      <c r="D177" s="40"/>
    </row>
    <row r="178" spans="3:4">
      <c r="C178" s="40"/>
      <c r="D178" s="40"/>
    </row>
    <row r="179" spans="3:4">
      <c r="C179" s="40"/>
      <c r="D179" s="40"/>
    </row>
    <row r="180" spans="3:4">
      <c r="C180" s="40"/>
      <c r="D180" s="40"/>
    </row>
    <row r="181" spans="3:4">
      <c r="C181" s="40"/>
      <c r="D181" s="40"/>
    </row>
    <row r="182" spans="3:4">
      <c r="C182" s="40"/>
      <c r="D182" s="40"/>
    </row>
    <row r="183" spans="3:4">
      <c r="C183" s="40"/>
      <c r="D183" s="40"/>
    </row>
    <row r="184" spans="3:4">
      <c r="C184" s="40"/>
      <c r="D184" s="40"/>
    </row>
    <row r="185" spans="3:4">
      <c r="C185" s="40"/>
      <c r="D185" s="40"/>
    </row>
    <row r="186" spans="3:4">
      <c r="C186" s="40"/>
      <c r="D186" s="40"/>
    </row>
    <row r="187" spans="3:4">
      <c r="C187" s="40"/>
      <c r="D187" s="40"/>
    </row>
    <row r="188" spans="3:4">
      <c r="C188" s="40"/>
      <c r="D188" s="40"/>
    </row>
    <row r="189" spans="3:4">
      <c r="C189" s="40"/>
      <c r="D189" s="40"/>
    </row>
    <row r="190" spans="3:4">
      <c r="C190" s="40"/>
      <c r="D190" s="40"/>
    </row>
    <row r="191" spans="3:4">
      <c r="C191" s="40"/>
      <c r="D191" s="40"/>
    </row>
    <row r="192" spans="3:4">
      <c r="C192" s="40"/>
      <c r="D192" s="40"/>
    </row>
    <row r="193" spans="3:4">
      <c r="C193" s="40"/>
      <c r="D193" s="40"/>
    </row>
    <row r="194" spans="3:4">
      <c r="C194" s="40"/>
      <c r="D194" s="40"/>
    </row>
    <row r="195" spans="3:4">
      <c r="C195" s="40"/>
      <c r="D195" s="40"/>
    </row>
    <row r="196" spans="3:4">
      <c r="C196" s="40"/>
      <c r="D196" s="40"/>
    </row>
    <row r="197" spans="3:4">
      <c r="C197" s="40"/>
      <c r="D197" s="40"/>
    </row>
    <row r="198" spans="3:4">
      <c r="C198" s="40"/>
      <c r="D198" s="40"/>
    </row>
    <row r="199" spans="3:4">
      <c r="C199" s="40"/>
      <c r="D199" s="40"/>
    </row>
    <row r="200" spans="3:4">
      <c r="C200" s="40"/>
      <c r="D200" s="40"/>
    </row>
    <row r="201" spans="3:4">
      <c r="C201" s="40"/>
      <c r="D201" s="40"/>
    </row>
    <row r="202" spans="3:4">
      <c r="C202" s="40"/>
      <c r="D202" s="40"/>
    </row>
    <row r="203" spans="3:4">
      <c r="C203" s="40"/>
      <c r="D203" s="40"/>
    </row>
    <row r="204" spans="3:4">
      <c r="C204" s="40"/>
      <c r="D204" s="40"/>
    </row>
    <row r="205" spans="3:4">
      <c r="C205" s="40"/>
      <c r="D205" s="40"/>
    </row>
    <row r="206" spans="3:4">
      <c r="C206" s="40"/>
      <c r="D206" s="40"/>
    </row>
    <row r="207" spans="3:4">
      <c r="C207" s="40"/>
      <c r="D207" s="40"/>
    </row>
    <row r="208" spans="3:4">
      <c r="C208" s="40"/>
      <c r="D208" s="40"/>
    </row>
    <row r="209" spans="3:4">
      <c r="C209" s="40"/>
      <c r="D209" s="40"/>
    </row>
    <row r="210" spans="3:4">
      <c r="C210" s="40"/>
      <c r="D210" s="40"/>
    </row>
    <row r="211" spans="3:4">
      <c r="C211" s="40"/>
      <c r="D211" s="40"/>
    </row>
    <row r="212" spans="3:4">
      <c r="C212" s="40"/>
      <c r="D212" s="40"/>
    </row>
    <row r="213" spans="3:4">
      <c r="C213" s="40"/>
      <c r="D213" s="40"/>
    </row>
    <row r="214" spans="3:4">
      <c r="C214" s="40"/>
      <c r="D214" s="40"/>
    </row>
    <row r="215" spans="3:4">
      <c r="C215" s="40"/>
      <c r="D215" s="40"/>
    </row>
    <row r="216" spans="3:4">
      <c r="C216" s="40"/>
      <c r="D216" s="40"/>
    </row>
    <row r="217" spans="3:4">
      <c r="C217" s="40"/>
      <c r="D217" s="40"/>
    </row>
    <row r="218" spans="3:4">
      <c r="C218" s="40"/>
      <c r="D218" s="40"/>
    </row>
    <row r="219" spans="3:4">
      <c r="C219" s="40"/>
      <c r="D219" s="40"/>
    </row>
    <row r="220" spans="3:4">
      <c r="C220" s="40"/>
      <c r="D220" s="40"/>
    </row>
    <row r="221" spans="3:4">
      <c r="C221" s="40"/>
      <c r="D221" s="40"/>
    </row>
    <row r="222" spans="3:4">
      <c r="C222" s="40"/>
      <c r="D222" s="40"/>
    </row>
    <row r="223" spans="3:4">
      <c r="C223" s="40"/>
      <c r="D223" s="40"/>
    </row>
    <row r="224" spans="3:4">
      <c r="C224" s="40"/>
      <c r="D224" s="40"/>
    </row>
    <row r="225" spans="3:4">
      <c r="C225" s="40"/>
      <c r="D225" s="40"/>
    </row>
    <row r="226" spans="3:4">
      <c r="C226" s="40"/>
      <c r="D226" s="40"/>
    </row>
    <row r="227" spans="3:4">
      <c r="C227" s="40"/>
      <c r="D227" s="40"/>
    </row>
    <row r="228" spans="3:4">
      <c r="C228" s="40"/>
      <c r="D228" s="40"/>
    </row>
    <row r="229" spans="3:4">
      <c r="C229" s="40"/>
      <c r="D229" s="40"/>
    </row>
    <row r="230" spans="3:4">
      <c r="C230" s="40"/>
      <c r="D230" s="40"/>
    </row>
    <row r="231" spans="3:4">
      <c r="C231" s="40"/>
      <c r="D231" s="40"/>
    </row>
    <row r="232" spans="3:4">
      <c r="C232" s="40"/>
      <c r="D232" s="40"/>
    </row>
    <row r="233" spans="3:4">
      <c r="C233" s="40"/>
      <c r="D233" s="40"/>
    </row>
    <row r="234" spans="3:4">
      <c r="C234" s="40"/>
      <c r="D234" s="40"/>
    </row>
    <row r="235" spans="3:4">
      <c r="C235" s="40"/>
      <c r="D235" s="40"/>
    </row>
    <row r="236" spans="3:4">
      <c r="C236" s="40"/>
      <c r="D236" s="40"/>
    </row>
    <row r="237" spans="3:4">
      <c r="C237" s="40"/>
      <c r="D237" s="40"/>
    </row>
    <row r="238" spans="3:4">
      <c r="C238" s="40"/>
      <c r="D238" s="40"/>
    </row>
    <row r="239" spans="3:4">
      <c r="C239" s="40"/>
      <c r="D239" s="40"/>
    </row>
    <row r="240" spans="3:4">
      <c r="C240" s="40"/>
      <c r="D240" s="40"/>
    </row>
    <row r="241" spans="3:4">
      <c r="C241" s="40"/>
      <c r="D241" s="40"/>
    </row>
    <row r="242" spans="3:4">
      <c r="C242" s="40"/>
      <c r="D242" s="40"/>
    </row>
    <row r="243" spans="3:4">
      <c r="C243" s="40"/>
      <c r="D243" s="40"/>
    </row>
    <row r="244" spans="3:4">
      <c r="C244" s="40"/>
      <c r="D244" s="40"/>
    </row>
    <row r="245" spans="3:4">
      <c r="C245" s="40"/>
      <c r="D245" s="40"/>
    </row>
    <row r="246" spans="3:4">
      <c r="C246" s="40"/>
      <c r="D246" s="40"/>
    </row>
    <row r="247" spans="3:4">
      <c r="C247" s="40"/>
      <c r="D247" s="40"/>
    </row>
    <row r="248" spans="3:4">
      <c r="C248" s="40"/>
      <c r="D248" s="40"/>
    </row>
    <row r="249" spans="3:4">
      <c r="C249" s="40"/>
      <c r="D249" s="40"/>
    </row>
    <row r="250" spans="3:4">
      <c r="C250" s="40"/>
      <c r="D250" s="40"/>
    </row>
    <row r="251" spans="3:4">
      <c r="C251" s="40"/>
      <c r="D251" s="40"/>
    </row>
    <row r="252" spans="3:4">
      <c r="C252" s="40"/>
      <c r="D252" s="40"/>
    </row>
    <row r="253" spans="3:4">
      <c r="C253" s="40"/>
      <c r="D253" s="40"/>
    </row>
    <row r="254" spans="3:4">
      <c r="C254" s="40"/>
      <c r="D254" s="40"/>
    </row>
    <row r="255" spans="3:4">
      <c r="C255" s="40"/>
      <c r="D255" s="40"/>
    </row>
    <row r="256" spans="3:4">
      <c r="C256" s="40"/>
      <c r="D256" s="40"/>
    </row>
    <row r="257" spans="3:4">
      <c r="C257" s="40"/>
      <c r="D257" s="40"/>
    </row>
    <row r="258" spans="3:4">
      <c r="C258" s="40"/>
      <c r="D258" s="40"/>
    </row>
    <row r="259" spans="3:4">
      <c r="C259" s="40"/>
      <c r="D259" s="40"/>
    </row>
    <row r="260" spans="3:4">
      <c r="C260" s="40"/>
      <c r="D260" s="40"/>
    </row>
    <row r="261" spans="3:4">
      <c r="C261" s="40"/>
      <c r="D261" s="40"/>
    </row>
    <row r="262" spans="3:4">
      <c r="C262" s="40"/>
      <c r="D262" s="40"/>
    </row>
    <row r="263" spans="3:4">
      <c r="C263" s="40"/>
      <c r="D263" s="40"/>
    </row>
    <row r="264" spans="3:4">
      <c r="C264" s="40"/>
      <c r="D264" s="40"/>
    </row>
    <row r="265" spans="3:4">
      <c r="C265" s="40"/>
      <c r="D265" s="40"/>
    </row>
    <row r="266" spans="3:4">
      <c r="C266" s="40"/>
      <c r="D266" s="40"/>
    </row>
    <row r="267" spans="3:4">
      <c r="C267" s="40"/>
      <c r="D267" s="40"/>
    </row>
    <row r="268" spans="3:4">
      <c r="C268" s="40"/>
      <c r="D268" s="40"/>
    </row>
    <row r="269" spans="3:4">
      <c r="C269" s="40"/>
      <c r="D269" s="40"/>
    </row>
    <row r="270" spans="3:4">
      <c r="C270" s="40"/>
      <c r="D270" s="40"/>
    </row>
    <row r="271" spans="3:4">
      <c r="C271" s="40"/>
      <c r="D271" s="40"/>
    </row>
    <row r="272" spans="3:4">
      <c r="C272" s="40"/>
      <c r="D272" s="40"/>
    </row>
    <row r="273" spans="3:4">
      <c r="C273" s="40"/>
      <c r="D273" s="40"/>
    </row>
    <row r="274" spans="3:4">
      <c r="C274" s="40"/>
      <c r="D274" s="40"/>
    </row>
    <row r="275" spans="3:4">
      <c r="C275" s="40"/>
      <c r="D275" s="40"/>
    </row>
    <row r="276" spans="3:4">
      <c r="C276" s="40"/>
      <c r="D276" s="40"/>
    </row>
    <row r="277" spans="3:4">
      <c r="C277" s="40"/>
      <c r="D277" s="40"/>
    </row>
    <row r="278" spans="3:4">
      <c r="C278" s="40"/>
      <c r="D278" s="40"/>
    </row>
    <row r="279" spans="3:4">
      <c r="C279" s="40"/>
      <c r="D279" s="40"/>
    </row>
    <row r="280" spans="3:4">
      <c r="C280" s="40"/>
      <c r="D280" s="40"/>
    </row>
    <row r="281" spans="3:4">
      <c r="C281" s="40"/>
      <c r="D281" s="40"/>
    </row>
    <row r="282" spans="3:4">
      <c r="C282" s="40"/>
      <c r="D282" s="40"/>
    </row>
    <row r="283" spans="3:4">
      <c r="C283" s="40"/>
      <c r="D283" s="40"/>
    </row>
    <row r="284" spans="3:4">
      <c r="C284" s="40"/>
      <c r="D284" s="40"/>
    </row>
    <row r="285" spans="3:4">
      <c r="C285" s="40"/>
      <c r="D285" s="40"/>
    </row>
    <row r="286" spans="3:4">
      <c r="C286" s="40"/>
      <c r="D286" s="40"/>
    </row>
    <row r="287" spans="3:4">
      <c r="C287" s="40"/>
      <c r="D287" s="40"/>
    </row>
    <row r="288" spans="3:4">
      <c r="C288" s="40"/>
      <c r="D288" s="40"/>
    </row>
    <row r="289" spans="3:4">
      <c r="C289" s="40"/>
      <c r="D289" s="40"/>
    </row>
    <row r="290" spans="3:4">
      <c r="C290" s="40"/>
      <c r="D290" s="40"/>
    </row>
    <row r="291" spans="3:4">
      <c r="C291" s="40"/>
      <c r="D291" s="40"/>
    </row>
    <row r="292" spans="3:4">
      <c r="C292" s="40"/>
      <c r="D292" s="40"/>
    </row>
    <row r="293" spans="3:4">
      <c r="C293" s="40"/>
      <c r="D293" s="40"/>
    </row>
    <row r="294" spans="3:4">
      <c r="C294" s="40"/>
      <c r="D294" s="40"/>
    </row>
    <row r="295" spans="3:4">
      <c r="C295" s="40"/>
      <c r="D295" s="40"/>
    </row>
    <row r="296" spans="3:4">
      <c r="C296" s="40"/>
      <c r="D296" s="40"/>
    </row>
    <row r="297" spans="3:4">
      <c r="C297" s="40"/>
      <c r="D297" s="40"/>
    </row>
    <row r="298" spans="3:4">
      <c r="C298" s="40"/>
      <c r="D298" s="40"/>
    </row>
    <row r="299" spans="3:4">
      <c r="C299" s="40"/>
      <c r="D299" s="40"/>
    </row>
    <row r="300" spans="3:4">
      <c r="C300" s="40"/>
      <c r="D300" s="40"/>
    </row>
    <row r="301" spans="3:4">
      <c r="C301" s="40"/>
      <c r="D301" s="40"/>
    </row>
    <row r="302" spans="3:4">
      <c r="C302" s="40"/>
      <c r="D302" s="40"/>
    </row>
    <row r="303" spans="3:4">
      <c r="C303" s="40"/>
      <c r="D303" s="40"/>
    </row>
    <row r="304" spans="3:4">
      <c r="C304" s="40"/>
      <c r="D304" s="40"/>
    </row>
    <row r="305" spans="3:4">
      <c r="C305" s="40"/>
      <c r="D305" s="40"/>
    </row>
    <row r="306" spans="3:4">
      <c r="C306" s="40"/>
      <c r="D306" s="40"/>
    </row>
    <row r="307" spans="3:4">
      <c r="C307" s="40"/>
      <c r="D307" s="40"/>
    </row>
    <row r="308" spans="3:4">
      <c r="C308" s="40"/>
      <c r="D308" s="40"/>
    </row>
    <row r="309" spans="3:4">
      <c r="C309" s="40"/>
      <c r="D309" s="40"/>
    </row>
    <row r="310" spans="3:4">
      <c r="C310" s="40"/>
      <c r="D310" s="40"/>
    </row>
    <row r="311" spans="3:4">
      <c r="C311" s="40"/>
      <c r="D311" s="40"/>
    </row>
    <row r="312" spans="3:4">
      <c r="C312" s="40"/>
      <c r="D312" s="40"/>
    </row>
    <row r="313" spans="3:4">
      <c r="C313" s="40"/>
      <c r="D313" s="40"/>
    </row>
    <row r="314" spans="3:4">
      <c r="C314" s="40"/>
      <c r="D314" s="40"/>
    </row>
    <row r="315" spans="3:4">
      <c r="C315" s="40"/>
      <c r="D315" s="40"/>
    </row>
    <row r="316" spans="3:4">
      <c r="C316" s="40"/>
      <c r="D316" s="40"/>
    </row>
    <row r="317" spans="3:4">
      <c r="C317" s="40"/>
      <c r="D317" s="40"/>
    </row>
    <row r="318" spans="3:4">
      <c r="C318" s="40"/>
      <c r="D318" s="40"/>
    </row>
    <row r="319" spans="3:4">
      <c r="C319" s="40"/>
      <c r="D319" s="40"/>
    </row>
    <row r="320" spans="3:4">
      <c r="C320" s="40"/>
      <c r="D320" s="40"/>
    </row>
    <row r="321" spans="3:4">
      <c r="C321" s="40"/>
      <c r="D321" s="40"/>
    </row>
    <row r="322" spans="3:4">
      <c r="C322" s="40"/>
      <c r="D322" s="40"/>
    </row>
    <row r="323" spans="3:4">
      <c r="C323" s="40"/>
      <c r="D323" s="40"/>
    </row>
    <row r="324" spans="3:4">
      <c r="C324" s="40"/>
      <c r="D324" s="40"/>
    </row>
    <row r="325" spans="3:4">
      <c r="C325" s="40"/>
      <c r="D325" s="40"/>
    </row>
    <row r="326" spans="3:4">
      <c r="C326" s="40"/>
      <c r="D326" s="40"/>
    </row>
    <row r="327" spans="3:4">
      <c r="C327" s="40"/>
      <c r="D327" s="40"/>
    </row>
    <row r="328" spans="3:4">
      <c r="C328" s="40"/>
      <c r="D328" s="40"/>
    </row>
    <row r="329" spans="3:4">
      <c r="C329" s="40"/>
      <c r="D329" s="40"/>
    </row>
    <row r="330" spans="3:4">
      <c r="C330" s="40"/>
      <c r="D330" s="40"/>
    </row>
    <row r="331" spans="3:4">
      <c r="C331" s="40"/>
      <c r="D331" s="40"/>
    </row>
    <row r="332" spans="3:4">
      <c r="C332" s="40"/>
      <c r="D332" s="40"/>
    </row>
    <row r="333" spans="3:4">
      <c r="C333" s="40"/>
      <c r="D333" s="40"/>
    </row>
    <row r="334" spans="3:4">
      <c r="C334" s="40"/>
      <c r="D334" s="40"/>
    </row>
    <row r="335" spans="3:4">
      <c r="C335" s="40"/>
      <c r="D335" s="40"/>
    </row>
    <row r="336" spans="3:4">
      <c r="C336" s="40"/>
      <c r="D336" s="40"/>
    </row>
    <row r="337" spans="3:4">
      <c r="C337" s="40"/>
      <c r="D337" s="40"/>
    </row>
    <row r="338" spans="3:4">
      <c r="C338" s="40"/>
      <c r="D338" s="40"/>
    </row>
    <row r="339" spans="3:4">
      <c r="C339" s="40"/>
      <c r="D339" s="40"/>
    </row>
    <row r="340" spans="3:4">
      <c r="C340" s="40"/>
      <c r="D340" s="40"/>
    </row>
    <row r="341" spans="3:4">
      <c r="C341" s="40"/>
      <c r="D341" s="40"/>
    </row>
    <row r="342" spans="3:4">
      <c r="C342" s="40"/>
      <c r="D342" s="40"/>
    </row>
    <row r="343" spans="3:4">
      <c r="C343" s="40"/>
      <c r="D343" s="40"/>
    </row>
    <row r="344" spans="3:4">
      <c r="C344" s="40"/>
      <c r="D344" s="40"/>
    </row>
    <row r="345" spans="3:4">
      <c r="C345" s="40"/>
      <c r="D345" s="40"/>
    </row>
    <row r="346" spans="3:4">
      <c r="C346" s="40"/>
      <c r="D346" s="40"/>
    </row>
    <row r="347" spans="3:4">
      <c r="C347" s="40"/>
      <c r="D347" s="40"/>
    </row>
  </sheetData>
  <dataValidations count="1">
    <dataValidation allowBlank="1" showInputMessage="1" showErrorMessage="1" errorTitle="Number outside range" error="Please input a number between 1 and 10. Thank you!" sqref="C3" xr:uid="{791ED8F8-1F6C-44F2-804F-EF82A081BBDB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C6A-6607-47BD-A88F-B7A797BCCC81}">
  <sheetPr>
    <tabColor theme="2" tint="-0.249977111117893"/>
  </sheetPr>
  <dimension ref="A1:G19"/>
  <sheetViews>
    <sheetView workbookViewId="0">
      <selection activeCell="G19" sqref="G19"/>
    </sheetView>
  </sheetViews>
  <sheetFormatPr defaultColWidth="8.85546875" defaultRowHeight="14.45"/>
  <cols>
    <col min="1" max="3" width="17.140625" style="20" customWidth="1"/>
    <col min="4" max="4" width="9.5703125" style="20" customWidth="1"/>
    <col min="5" max="5" width="21.85546875" style="20" bestFit="1" customWidth="1"/>
    <col min="6" max="6" width="14.28515625" style="20" customWidth="1"/>
    <col min="7" max="16384" width="8.85546875" style="20"/>
  </cols>
  <sheetData>
    <row r="1" spans="1:7" customFormat="1" ht="18">
      <c r="A1" s="1" t="s">
        <v>94</v>
      </c>
      <c r="B1" s="1"/>
      <c r="C1" s="1"/>
      <c r="D1" s="1"/>
      <c r="E1" s="1"/>
      <c r="F1" s="1"/>
      <c r="G1" s="18"/>
    </row>
    <row r="4" spans="1:7" ht="15" thickBot="1">
      <c r="A4" s="21" t="s">
        <v>95</v>
      </c>
      <c r="B4" s="21" t="s">
        <v>96</v>
      </c>
      <c r="C4" s="21" t="s">
        <v>97</v>
      </c>
      <c r="E4" s="22" t="s">
        <v>96</v>
      </c>
      <c r="F4" s="23"/>
    </row>
    <row r="5" spans="1:7">
      <c r="A5" s="20" t="s">
        <v>98</v>
      </c>
      <c r="B5" s="20" t="s">
        <v>99</v>
      </c>
      <c r="C5" s="24">
        <v>44196</v>
      </c>
    </row>
    <row r="6" spans="1:7" ht="15" thickBot="1">
      <c r="A6" s="20" t="s">
        <v>98</v>
      </c>
      <c r="B6" s="20" t="s">
        <v>100</v>
      </c>
      <c r="C6" s="24">
        <v>20898</v>
      </c>
      <c r="E6" s="25" t="s">
        <v>101</v>
      </c>
      <c r="F6" s="26"/>
    </row>
    <row r="7" spans="1:7">
      <c r="A7" s="20" t="s">
        <v>98</v>
      </c>
      <c r="B7" s="20" t="s">
        <v>102</v>
      </c>
      <c r="C7" s="24">
        <v>46994</v>
      </c>
    </row>
    <row r="8" spans="1:7" ht="15" thickBot="1">
      <c r="A8" s="20" t="s">
        <v>98</v>
      </c>
      <c r="B8" s="20" t="s">
        <v>103</v>
      </c>
      <c r="C8" s="24">
        <v>43695</v>
      </c>
      <c r="E8" s="25" t="s">
        <v>104</v>
      </c>
      <c r="F8" s="26"/>
    </row>
    <row r="9" spans="1:7">
      <c r="A9" s="20" t="s">
        <v>98</v>
      </c>
      <c r="B9" s="20" t="s">
        <v>105</v>
      </c>
      <c r="C9" s="24">
        <v>34196</v>
      </c>
    </row>
    <row r="10" spans="1:7">
      <c r="A10" s="20" t="s">
        <v>106</v>
      </c>
      <c r="B10" s="20" t="s">
        <v>99</v>
      </c>
      <c r="C10" s="24">
        <v>34155</v>
      </c>
    </row>
    <row r="11" spans="1:7" ht="15" thickBot="1">
      <c r="A11" s="20" t="s">
        <v>106</v>
      </c>
      <c r="B11" s="20" t="s">
        <v>100</v>
      </c>
      <c r="C11" s="24">
        <v>24396</v>
      </c>
      <c r="E11" s="22" t="s">
        <v>95</v>
      </c>
    </row>
    <row r="12" spans="1:7">
      <c r="A12" s="20" t="s">
        <v>106</v>
      </c>
      <c r="B12" s="20" t="s">
        <v>102</v>
      </c>
      <c r="C12" s="24">
        <v>29276</v>
      </c>
    </row>
    <row r="13" spans="1:7" ht="15" thickBot="1">
      <c r="A13" s="20" t="s">
        <v>106</v>
      </c>
      <c r="B13" s="20" t="s">
        <v>103</v>
      </c>
      <c r="C13" s="24">
        <v>45540</v>
      </c>
      <c r="E13" s="25" t="s">
        <v>107</v>
      </c>
      <c r="F13" s="26"/>
    </row>
    <row r="14" spans="1:7">
      <c r="A14" s="20" t="s">
        <v>106</v>
      </c>
      <c r="B14" s="20" t="s">
        <v>105</v>
      </c>
      <c r="C14" s="24">
        <v>29277</v>
      </c>
    </row>
    <row r="15" spans="1:7" ht="15" thickBot="1">
      <c r="A15" s="20" t="s">
        <v>108</v>
      </c>
      <c r="B15" s="20" t="s">
        <v>99</v>
      </c>
      <c r="C15" s="24">
        <v>44675</v>
      </c>
      <c r="E15" s="25" t="s">
        <v>109</v>
      </c>
      <c r="F15" s="26"/>
    </row>
    <row r="16" spans="1:7">
      <c r="A16" s="20" t="s">
        <v>108</v>
      </c>
      <c r="B16" s="20" t="s">
        <v>100</v>
      </c>
      <c r="C16" s="24">
        <v>42569</v>
      </c>
    </row>
    <row r="17" spans="1:3">
      <c r="A17" s="20" t="s">
        <v>108</v>
      </c>
      <c r="B17" s="20" t="s">
        <v>102</v>
      </c>
      <c r="C17" s="24">
        <v>43784</v>
      </c>
    </row>
    <row r="18" spans="1:3">
      <c r="A18" s="20" t="s">
        <v>108</v>
      </c>
      <c r="B18" s="20" t="s">
        <v>103</v>
      </c>
      <c r="C18" s="24">
        <v>46336</v>
      </c>
    </row>
    <row r="19" spans="1:3">
      <c r="A19" s="20" t="s">
        <v>108</v>
      </c>
      <c r="B19" s="20" t="s">
        <v>105</v>
      </c>
      <c r="C19" s="24">
        <v>49656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CEC6-52EC-4514-A60F-8E349D01B23B}">
  <sheetPr>
    <tabColor theme="2" tint="-0.249977111117893"/>
  </sheetPr>
  <dimension ref="A1:J18"/>
  <sheetViews>
    <sheetView zoomScale="115" zoomScaleNormal="115" workbookViewId="0">
      <selection activeCell="G19" sqref="G19"/>
    </sheetView>
  </sheetViews>
  <sheetFormatPr defaultColWidth="8.85546875" defaultRowHeight="14.45"/>
  <cols>
    <col min="1" max="1" width="2.85546875" style="20" customWidth="1"/>
    <col min="2" max="3" width="15.42578125" style="20" customWidth="1"/>
    <col min="4" max="4" width="11.5703125" style="20" customWidth="1"/>
    <col min="5" max="5" width="10.28515625" style="20" customWidth="1"/>
    <col min="6" max="6" width="8.85546875" style="20"/>
    <col min="7" max="7" width="19.7109375" style="20" bestFit="1" customWidth="1"/>
    <col min="8" max="8" width="12.5703125" style="20" bestFit="1" customWidth="1"/>
    <col min="9" max="16384" width="8.85546875" style="20"/>
  </cols>
  <sheetData>
    <row r="1" spans="1:10" customFormat="1" ht="18">
      <c r="A1" s="1" t="s">
        <v>110</v>
      </c>
      <c r="B1" s="1"/>
      <c r="C1" s="1"/>
      <c r="D1" s="1"/>
      <c r="E1" s="1"/>
      <c r="F1" s="1"/>
      <c r="G1" s="18"/>
    </row>
    <row r="2" spans="1:10" customFormat="1" ht="14.45" customHeight="1">
      <c r="A2" s="45"/>
      <c r="B2" s="45"/>
      <c r="C2" s="45"/>
      <c r="D2" s="45"/>
      <c r="E2" s="45"/>
      <c r="F2" s="45"/>
      <c r="G2" s="18"/>
    </row>
    <row r="3" spans="1:10" ht="15" thickBot="1">
      <c r="B3" s="21" t="s">
        <v>95</v>
      </c>
      <c r="C3" s="21" t="s">
        <v>96</v>
      </c>
      <c r="D3" s="21" t="s">
        <v>97</v>
      </c>
      <c r="E3" s="23" t="s">
        <v>111</v>
      </c>
      <c r="G3" s="27" t="s">
        <v>112</v>
      </c>
      <c r="H3" s="27" t="s">
        <v>113</v>
      </c>
      <c r="J3" s="23" t="s">
        <v>114</v>
      </c>
    </row>
    <row r="4" spans="1:10">
      <c r="B4" s="20" t="s">
        <v>98</v>
      </c>
      <c r="C4" s="20" t="s">
        <v>99</v>
      </c>
      <c r="D4" s="24">
        <v>44196</v>
      </c>
      <c r="G4" s="28" t="s">
        <v>115</v>
      </c>
      <c r="H4" s="28" t="s">
        <v>116</v>
      </c>
      <c r="J4" s="44" t="s">
        <v>117</v>
      </c>
    </row>
    <row r="5" spans="1:10">
      <c r="B5" s="20" t="s">
        <v>98</v>
      </c>
      <c r="C5" s="20" t="s">
        <v>100</v>
      </c>
      <c r="D5" s="24">
        <v>20898</v>
      </c>
      <c r="G5" s="28" t="s">
        <v>118</v>
      </c>
      <c r="H5" s="28" t="s">
        <v>119</v>
      </c>
    </row>
    <row r="6" spans="1:10">
      <c r="B6" s="20" t="s">
        <v>98</v>
      </c>
      <c r="C6" s="20" t="s">
        <v>102</v>
      </c>
      <c r="D6" s="24">
        <v>46994</v>
      </c>
      <c r="G6" s="28" t="s">
        <v>120</v>
      </c>
      <c r="H6" s="28" t="s">
        <v>121</v>
      </c>
    </row>
    <row r="7" spans="1:10">
      <c r="B7" s="20" t="s">
        <v>98</v>
      </c>
      <c r="C7" s="20" t="s">
        <v>103</v>
      </c>
      <c r="D7" s="24">
        <v>43695</v>
      </c>
      <c r="G7" s="28" t="s">
        <v>122</v>
      </c>
      <c r="H7" s="28" t="s">
        <v>123</v>
      </c>
    </row>
    <row r="8" spans="1:10">
      <c r="B8" s="20" t="s">
        <v>98</v>
      </c>
      <c r="C8" s="20" t="s">
        <v>105</v>
      </c>
      <c r="D8" s="24">
        <v>34196</v>
      </c>
      <c r="G8" s="28" t="s">
        <v>124</v>
      </c>
      <c r="H8" s="28" t="s">
        <v>125</v>
      </c>
    </row>
    <row r="9" spans="1:10">
      <c r="B9" s="20" t="s">
        <v>106</v>
      </c>
      <c r="C9" s="20" t="s">
        <v>99</v>
      </c>
      <c r="D9" s="24">
        <v>34155</v>
      </c>
    </row>
    <row r="10" spans="1:10">
      <c r="B10" s="20" t="s">
        <v>106</v>
      </c>
      <c r="C10" s="20" t="s">
        <v>100</v>
      </c>
      <c r="D10" s="24">
        <v>24396</v>
      </c>
    </row>
    <row r="11" spans="1:10">
      <c r="B11" s="20" t="s">
        <v>106</v>
      </c>
      <c r="C11" s="20" t="s">
        <v>102</v>
      </c>
      <c r="D11" s="24">
        <v>29276</v>
      </c>
    </row>
    <row r="12" spans="1:10">
      <c r="B12" s="20" t="s">
        <v>106</v>
      </c>
      <c r="C12" s="20" t="s">
        <v>103</v>
      </c>
      <c r="D12" s="24">
        <v>45540</v>
      </c>
    </row>
    <row r="13" spans="1:10">
      <c r="B13" s="20" t="s">
        <v>106</v>
      </c>
      <c r="C13" s="20" t="s">
        <v>105</v>
      </c>
      <c r="D13" s="24">
        <v>29277</v>
      </c>
    </row>
    <row r="14" spans="1:10">
      <c r="B14" s="20" t="s">
        <v>108</v>
      </c>
      <c r="C14" s="20" t="s">
        <v>99</v>
      </c>
      <c r="D14" s="24">
        <v>44675</v>
      </c>
    </row>
    <row r="15" spans="1:10">
      <c r="B15" s="20" t="s">
        <v>108</v>
      </c>
      <c r="C15" s="20" t="s">
        <v>100</v>
      </c>
      <c r="D15" s="24">
        <v>42569</v>
      </c>
    </row>
    <row r="16" spans="1:10">
      <c r="B16" s="20" t="s">
        <v>108</v>
      </c>
      <c r="C16" s="20" t="s">
        <v>102</v>
      </c>
      <c r="D16" s="24">
        <v>43784</v>
      </c>
    </row>
    <row r="17" spans="2:4">
      <c r="B17" s="20" t="s">
        <v>108</v>
      </c>
      <c r="C17" s="20" t="s">
        <v>103</v>
      </c>
      <c r="D17" s="24">
        <v>46336</v>
      </c>
    </row>
    <row r="18" spans="2:4">
      <c r="B18" s="20" t="s">
        <v>108</v>
      </c>
      <c r="C18" s="20" t="s">
        <v>105</v>
      </c>
      <c r="D18" s="24">
        <v>49656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6C47-4508-45A4-A478-F295C7C7FCA0}">
  <sheetPr>
    <tabColor theme="2" tint="-0.249977111117893"/>
  </sheetPr>
  <dimension ref="B2:J35"/>
  <sheetViews>
    <sheetView topLeftCell="A7" zoomScale="130" zoomScaleNormal="130" workbookViewId="0"/>
  </sheetViews>
  <sheetFormatPr defaultRowHeight="14.45"/>
  <cols>
    <col min="2" max="2" width="10.7109375" customWidth="1"/>
    <col min="4" max="4" width="11.7109375" style="30" customWidth="1"/>
    <col min="5" max="5" width="4.7109375" customWidth="1"/>
    <col min="6" max="6" width="11.7109375" style="30" customWidth="1"/>
    <col min="7" max="7" width="4.7109375" customWidth="1"/>
    <col min="8" max="8" width="11.7109375" style="30" customWidth="1"/>
    <col min="9" max="9" width="5.140625" customWidth="1"/>
    <col min="10" max="10" width="11.7109375" style="30" customWidth="1"/>
  </cols>
  <sheetData>
    <row r="2" spans="2:10">
      <c r="B2" s="29" t="s">
        <v>126</v>
      </c>
      <c r="D2" s="30" t="s">
        <v>127</v>
      </c>
      <c r="F2" s="30" t="s">
        <v>128</v>
      </c>
      <c r="H2" s="30" t="s">
        <v>129</v>
      </c>
    </row>
    <row r="3" spans="2:10">
      <c r="B3" t="s">
        <v>130</v>
      </c>
    </row>
    <row r="4" spans="2:10">
      <c r="B4" t="s">
        <v>131</v>
      </c>
    </row>
    <row r="5" spans="2:10">
      <c r="B5" t="s">
        <v>132</v>
      </c>
    </row>
    <row r="6" spans="2:10">
      <c r="B6" t="s">
        <v>133</v>
      </c>
    </row>
    <row r="9" spans="2:10">
      <c r="B9" s="29" t="s">
        <v>134</v>
      </c>
      <c r="D9" s="30" t="s">
        <v>127</v>
      </c>
      <c r="F9" s="30" t="s">
        <v>135</v>
      </c>
      <c r="H9" s="30" t="s">
        <v>128</v>
      </c>
      <c r="J9" s="30" t="s">
        <v>129</v>
      </c>
    </row>
    <row r="10" spans="2:10">
      <c r="B10" t="s">
        <v>130</v>
      </c>
      <c r="C10" t="s">
        <v>136</v>
      </c>
      <c r="D10" s="30" t="str" cm="1">
        <f t="array" ref="D10:D13">CONCATENATE(B10:B13,C10:C13)</f>
        <v>ThisI</v>
      </c>
    </row>
    <row r="11" spans="2:10">
      <c r="B11" t="s">
        <v>131</v>
      </c>
      <c r="C11" t="s">
        <v>137</v>
      </c>
      <c r="D11" s="30" t="str">
        <v>islove</v>
      </c>
    </row>
    <row r="12" spans="2:10">
      <c r="B12" t="s">
        <v>132</v>
      </c>
      <c r="C12" t="s">
        <v>138</v>
      </c>
      <c r="D12" s="30" t="str">
        <v>aMS</v>
      </c>
    </row>
    <row r="13" spans="2:10">
      <c r="B13" t="s">
        <v>133</v>
      </c>
      <c r="C13" t="s">
        <v>139</v>
      </c>
      <c r="D13" s="30" t="str">
        <v>sentenceExcel</v>
      </c>
    </row>
    <row r="15" spans="2:10">
      <c r="B15" s="31" t="s">
        <v>140</v>
      </c>
      <c r="F15" s="30" t="s">
        <v>141</v>
      </c>
    </row>
    <row r="16" spans="2:10">
      <c r="B16" t="s">
        <v>142</v>
      </c>
    </row>
    <row r="17" spans="2:2">
      <c r="B17" t="s">
        <v>143</v>
      </c>
    </row>
    <row r="18" spans="2:2">
      <c r="B18" t="s">
        <v>144</v>
      </c>
    </row>
    <row r="19" spans="2:2">
      <c r="B19" t="s">
        <v>145</v>
      </c>
    </row>
    <row r="20" spans="2:2">
      <c r="B20" t="s">
        <v>146</v>
      </c>
    </row>
    <row r="21" spans="2:2">
      <c r="B21" t="s">
        <v>147</v>
      </c>
    </row>
    <row r="22" spans="2:2">
      <c r="B22" t="s">
        <v>148</v>
      </c>
    </row>
    <row r="23" spans="2:2">
      <c r="B23" t="s">
        <v>149</v>
      </c>
    </row>
    <row r="24" spans="2:2">
      <c r="B24" t="s">
        <v>150</v>
      </c>
    </row>
    <row r="25" spans="2:2">
      <c r="B25" t="s">
        <v>151</v>
      </c>
    </row>
    <row r="26" spans="2:2">
      <c r="B26" t="s">
        <v>152</v>
      </c>
    </row>
    <row r="27" spans="2:2">
      <c r="B27" t="s">
        <v>153</v>
      </c>
    </row>
    <row r="28" spans="2:2">
      <c r="B28" t="s">
        <v>154</v>
      </c>
    </row>
    <row r="29" spans="2:2">
      <c r="B29" t="s">
        <v>155</v>
      </c>
    </row>
    <row r="30" spans="2:2">
      <c r="B30" t="s">
        <v>156</v>
      </c>
    </row>
    <row r="31" spans="2:2">
      <c r="B31" t="s">
        <v>157</v>
      </c>
    </row>
    <row r="32" spans="2:2">
      <c r="B32" t="s">
        <v>158</v>
      </c>
    </row>
    <row r="33" spans="2:2">
      <c r="B33" t="s">
        <v>159</v>
      </c>
    </row>
    <row r="34" spans="2:2">
      <c r="B34" t="s">
        <v>160</v>
      </c>
    </row>
    <row r="35" spans="2:2">
      <c r="B35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F6BB-2FF2-4C57-8E6B-C99CEF5BC4B2}">
  <sheetPr codeName="Sheet1">
    <tabColor theme="2" tint="-0.249977111117893"/>
  </sheetPr>
  <dimension ref="A1:H22"/>
  <sheetViews>
    <sheetView workbookViewId="0"/>
  </sheetViews>
  <sheetFormatPr defaultRowHeight="14.45"/>
  <cols>
    <col min="4" max="4" width="17.28515625" customWidth="1"/>
    <col min="5" max="5" width="18.28515625" customWidth="1"/>
    <col min="8" max="8" width="15.5703125" customWidth="1"/>
  </cols>
  <sheetData>
    <row r="1" spans="1:8" ht="18">
      <c r="A1" s="1" t="s">
        <v>162</v>
      </c>
      <c r="B1" s="1"/>
      <c r="C1" s="1"/>
      <c r="D1" s="1"/>
      <c r="G1" s="18" t="s">
        <v>163</v>
      </c>
    </row>
    <row r="3" spans="1:8">
      <c r="A3" s="4" t="s">
        <v>164</v>
      </c>
    </row>
    <row r="5" spans="1:8">
      <c r="A5" s="4" t="s">
        <v>165</v>
      </c>
      <c r="E5" s="4" t="s">
        <v>166</v>
      </c>
    </row>
    <row r="7" spans="1:8">
      <c r="A7" s="5"/>
      <c r="E7" t="s">
        <v>6</v>
      </c>
      <c r="G7" s="7" t="s">
        <v>167</v>
      </c>
      <c r="H7" s="5"/>
    </row>
    <row r="8" spans="1:8">
      <c r="E8" t="s">
        <v>7</v>
      </c>
      <c r="G8" s="7" t="s">
        <v>167</v>
      </c>
    </row>
    <row r="9" spans="1:8">
      <c r="E9" t="s">
        <v>8</v>
      </c>
      <c r="G9" s="7" t="s">
        <v>167</v>
      </c>
    </row>
    <row r="10" spans="1:8">
      <c r="E10" t="s">
        <v>9</v>
      </c>
      <c r="G10" s="7" t="s">
        <v>167</v>
      </c>
    </row>
    <row r="11" spans="1:8">
      <c r="E11" t="s">
        <v>10</v>
      </c>
      <c r="G11" s="8" t="s">
        <v>168</v>
      </c>
    </row>
    <row r="12" spans="1:8">
      <c r="E12" t="s">
        <v>11</v>
      </c>
      <c r="G12" s="8" t="s">
        <v>168</v>
      </c>
    </row>
    <row r="13" spans="1:8">
      <c r="E13" t="s">
        <v>12</v>
      </c>
      <c r="G13" s="8" t="s">
        <v>168</v>
      </c>
    </row>
    <row r="14" spans="1:8">
      <c r="A14" s="4" t="s">
        <v>169</v>
      </c>
      <c r="E14" t="s">
        <v>13</v>
      </c>
      <c r="G14" s="8" t="s">
        <v>168</v>
      </c>
    </row>
    <row r="15" spans="1:8">
      <c r="E15" t="s">
        <v>14</v>
      </c>
      <c r="G15" s="9" t="s">
        <v>170</v>
      </c>
    </row>
    <row r="16" spans="1:8">
      <c r="A16" s="5"/>
      <c r="E16" t="s">
        <v>15</v>
      </c>
      <c r="G16" s="9" t="s">
        <v>170</v>
      </c>
    </row>
    <row r="17" spans="5:7">
      <c r="E17" t="s">
        <v>41</v>
      </c>
      <c r="G17" s="9" t="s">
        <v>170</v>
      </c>
    </row>
    <row r="18" spans="5:7">
      <c r="E18" t="s">
        <v>59</v>
      </c>
      <c r="G18" s="9" t="s">
        <v>170</v>
      </c>
    </row>
    <row r="19" spans="5:7">
      <c r="E19" t="s">
        <v>43</v>
      </c>
      <c r="G19" s="10" t="s">
        <v>171</v>
      </c>
    </row>
    <row r="20" spans="5:7">
      <c r="E20" t="s">
        <v>55</v>
      </c>
      <c r="G20" s="10" t="s">
        <v>171</v>
      </c>
    </row>
    <row r="21" spans="5:7">
      <c r="E21" t="s">
        <v>45</v>
      </c>
      <c r="G21" s="10" t="s">
        <v>171</v>
      </c>
    </row>
    <row r="22" spans="5:7">
      <c r="E22" t="s">
        <v>57</v>
      </c>
      <c r="G22" s="10" t="s">
        <v>171</v>
      </c>
    </row>
  </sheetData>
  <hyperlinks>
    <hyperlink ref="G1" location="back" display="INDEX" xr:uid="{B0EB71D6-957E-46A6-8A13-75C9368904F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Jatan Shah</dc:creator>
  <cp:keywords/>
  <dc:description>Excel 2019 Webinar</dc:description>
  <cp:lastModifiedBy/>
  <cp:revision/>
  <dcterms:created xsi:type="dcterms:W3CDTF">2018-01-05T16:30:23Z</dcterms:created>
  <dcterms:modified xsi:type="dcterms:W3CDTF">2025-11-29T14:08:38Z</dcterms:modified>
  <cp:category/>
  <cp:contentStatus/>
</cp:coreProperties>
</file>