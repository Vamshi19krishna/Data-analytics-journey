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Ben\Desktop\Formulas and Functions Demo Workbooks Complete\"/>
    </mc:Choice>
  </mc:AlternateContent>
  <xr:revisionPtr revIDLastSave="0" documentId="8_{3BD02BD6-6BB2-49E0-9E9C-7ECF873631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w Data" sheetId="1" r:id="rId1"/>
    <sheet name="Sheet1" sheetId="2" r:id="rId2"/>
  </sheets>
  <definedNames>
    <definedName name="_xlnm._FilterDatabase" localSheetId="0" hidden="1">'Raw Data'!$A$1:$AD$501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2" i="1"/>
</calcChain>
</file>

<file path=xl/sharedStrings.xml><?xml version="1.0" encoding="utf-8"?>
<sst xmlns="http://schemas.openxmlformats.org/spreadsheetml/2006/main" count="5029" uniqueCount="3170">
  <si>
    <t>First Name</t>
  </si>
  <si>
    <t>Proper First Name</t>
  </si>
  <si>
    <t>M.I.</t>
  </si>
  <si>
    <t>Last Name</t>
  </si>
  <si>
    <t>Proper Last Name</t>
  </si>
  <si>
    <t>FULL NAME</t>
  </si>
  <si>
    <t>FULL NAME USING CONCATINATE</t>
  </si>
  <si>
    <t>FIRST 3 LETTERS OF FIRST NAME AND COMPLETE LAST NAME</t>
  </si>
  <si>
    <t>Gender</t>
  </si>
  <si>
    <t>Street Address</t>
  </si>
  <si>
    <t>City</t>
  </si>
  <si>
    <t>State</t>
  </si>
  <si>
    <t>ZipCode</t>
  </si>
  <si>
    <t>New ZIP</t>
  </si>
  <si>
    <t>Full Address</t>
  </si>
  <si>
    <t>E-mail</t>
  </si>
  <si>
    <t>E-mail Service</t>
  </si>
  <si>
    <t>Provider</t>
  </si>
  <si>
    <t>Username</t>
  </si>
  <si>
    <t>Telephone</t>
  </si>
  <si>
    <t>Left Function</t>
  </si>
  <si>
    <t>MID Function</t>
  </si>
  <si>
    <t>Right Function</t>
  </si>
  <si>
    <t>New Phone #</t>
  </si>
  <si>
    <t>Area Code</t>
  </si>
  <si>
    <t>Prefix</t>
  </si>
  <si>
    <t>Line Number</t>
  </si>
  <si>
    <t>NationalID</t>
  </si>
  <si>
    <t>Short ID</t>
  </si>
  <si>
    <t xml:space="preserve">JENNIFER </t>
  </si>
  <si>
    <t>J</t>
  </si>
  <si>
    <t>MCGRATH</t>
  </si>
  <si>
    <t>female</t>
  </si>
  <si>
    <t>985 Eagle Street</t>
  </si>
  <si>
    <t>Fieldon</t>
  </si>
  <si>
    <t>IL</t>
  </si>
  <si>
    <t>JenniferJMcGrath@gmail.com</t>
  </si>
  <si>
    <t>618-376-3064</t>
  </si>
  <si>
    <t>84-158</t>
  </si>
  <si>
    <t>CHAD</t>
  </si>
  <si>
    <t>S</t>
  </si>
  <si>
    <t xml:space="preserve">LEWIS </t>
  </si>
  <si>
    <t>male</t>
  </si>
  <si>
    <t>267 Francis Mine</t>
  </si>
  <si>
    <t>Downieville</t>
  </si>
  <si>
    <t>CA</t>
  </si>
  <si>
    <t>ChadSLewis@aol.com</t>
  </si>
  <si>
    <t>530-289-3807</t>
  </si>
  <si>
    <t>60-851</t>
  </si>
  <si>
    <t>SUSAN</t>
  </si>
  <si>
    <t>RODRIGUEZ</t>
  </si>
  <si>
    <t>4620 Williams Mine Road</t>
  </si>
  <si>
    <t>Maplewood</t>
  </si>
  <si>
    <t>NJ</t>
  </si>
  <si>
    <t>SusanSRodriguez@hotmail.com</t>
  </si>
  <si>
    <t>908-264-1670</t>
  </si>
  <si>
    <t>44-5370</t>
  </si>
  <si>
    <t xml:space="preserve">WAYNE </t>
  </si>
  <si>
    <t>M</t>
  </si>
  <si>
    <t>NIELSON</t>
  </si>
  <si>
    <t>1829 White Pine Lane</t>
  </si>
  <si>
    <t>Dahlgren</t>
  </si>
  <si>
    <t>VA</t>
  </si>
  <si>
    <t>WayneMNielson@aol.com</t>
  </si>
  <si>
    <t>540-644-7658</t>
  </si>
  <si>
    <t>01-1254</t>
  </si>
  <si>
    <t>JOHN</t>
  </si>
  <si>
    <t>D</t>
  </si>
  <si>
    <t xml:space="preserve">DEPAUL </t>
  </si>
  <si>
    <t>1165 Victoria Street</t>
  </si>
  <si>
    <t>Baton Rouge</t>
  </si>
  <si>
    <t>LA</t>
  </si>
  <si>
    <t>JohnDDepaul@gmail.com</t>
  </si>
  <si>
    <t>225-274-4802</t>
  </si>
  <si>
    <t>03-1343</t>
  </si>
  <si>
    <t>JOSEPH</t>
  </si>
  <si>
    <t>MARTINEZ</t>
  </si>
  <si>
    <t>3866 Mattson Street</t>
  </si>
  <si>
    <t>Portland</t>
  </si>
  <si>
    <t>OR</t>
  </si>
  <si>
    <t>JosephJMartinez@aol.com</t>
  </si>
  <si>
    <t>503-402-2075</t>
  </si>
  <si>
    <t>19-8581</t>
  </si>
  <si>
    <t>DIANE</t>
  </si>
  <si>
    <t>K</t>
  </si>
  <si>
    <t xml:space="preserve">HENRY </t>
  </si>
  <si>
    <t>3902 Valley Lane</t>
  </si>
  <si>
    <t>Austin</t>
  </si>
  <si>
    <t>TX</t>
  </si>
  <si>
    <t>DianeKHenry@gmail.com</t>
  </si>
  <si>
    <t>512-633-7667</t>
  </si>
  <si>
    <t>86-7264</t>
  </si>
  <si>
    <t>VERONICA</t>
  </si>
  <si>
    <t>COMERFORD</t>
  </si>
  <si>
    <t>3932 Franklin Street</t>
  </si>
  <si>
    <t>Tuskegee</t>
  </si>
  <si>
    <t>AL</t>
  </si>
  <si>
    <t>VeronicaMComerford@gmail.com</t>
  </si>
  <si>
    <t>334-725-7343</t>
  </si>
  <si>
    <t>94-9897</t>
  </si>
  <si>
    <t>BEVERLY</t>
  </si>
  <si>
    <t>NIXON</t>
  </si>
  <si>
    <t>3480 Dancing Dove Lane</t>
  </si>
  <si>
    <t>Long Island City</t>
  </si>
  <si>
    <t>NY</t>
  </si>
  <si>
    <t>BeverlyDNixon@aol.com</t>
  </si>
  <si>
    <t>347-626-0700</t>
  </si>
  <si>
    <t>88-7922</t>
  </si>
  <si>
    <t>IVAN</t>
  </si>
  <si>
    <t>LAYTON</t>
  </si>
  <si>
    <t>211 Hardesty Street</t>
  </si>
  <si>
    <t>Albany</t>
  </si>
  <si>
    <t>IvanSLayton@gmail.com</t>
  </si>
  <si>
    <t>518-431-7602</t>
  </si>
  <si>
    <t>09-4367</t>
  </si>
  <si>
    <t>SHANNON</t>
  </si>
  <si>
    <t>H</t>
  </si>
  <si>
    <t>FORD</t>
  </si>
  <si>
    <t>4430 Colonial Drive</t>
  </si>
  <si>
    <t>Bryan</t>
  </si>
  <si>
    <t>ShannonHFord@aol.com</t>
  </si>
  <si>
    <t>979-814-1664</t>
  </si>
  <si>
    <t>03-6340</t>
  </si>
  <si>
    <t>DEBRA</t>
  </si>
  <si>
    <t>F</t>
  </si>
  <si>
    <t>PONCE</t>
  </si>
  <si>
    <t>4418 Sussex Court</t>
  </si>
  <si>
    <t>Dallas</t>
  </si>
  <si>
    <t>DebraFPonce@gmail.com</t>
  </si>
  <si>
    <t>254-488-3212</t>
  </si>
  <si>
    <t>74-7259</t>
  </si>
  <si>
    <t>MARGARET</t>
  </si>
  <si>
    <t>R</t>
  </si>
  <si>
    <t>BRYNER</t>
  </si>
  <si>
    <t>738 Melm Street</t>
  </si>
  <si>
    <t>Providence</t>
  </si>
  <si>
    <t>RI</t>
  </si>
  <si>
    <t>MargaretRBryner@aol.com</t>
  </si>
  <si>
    <t>401-222-2097</t>
  </si>
  <si>
    <t>38-513</t>
  </si>
  <si>
    <t>BARBARA</t>
  </si>
  <si>
    <t>E</t>
  </si>
  <si>
    <t>SMITH</t>
  </si>
  <si>
    <t>352 Lake Road</t>
  </si>
  <si>
    <t>Egg Harbor</t>
  </si>
  <si>
    <t>BarbaraESmith@hotmail.com</t>
  </si>
  <si>
    <t>609-412-4268</t>
  </si>
  <si>
    <t>54-1895</t>
  </si>
  <si>
    <t>SUE</t>
  </si>
  <si>
    <t>P</t>
  </si>
  <si>
    <t>GAY</t>
  </si>
  <si>
    <t>2680 Comfort Court</t>
  </si>
  <si>
    <t>Cataract</t>
  </si>
  <si>
    <t>WI</t>
  </si>
  <si>
    <t>SuePGay@aol.com</t>
  </si>
  <si>
    <t>608-272-8021</t>
  </si>
  <si>
    <t>26-218</t>
  </si>
  <si>
    <t>MARK</t>
  </si>
  <si>
    <t>FLORES</t>
  </si>
  <si>
    <t>42 Mount Street</t>
  </si>
  <si>
    <t>Saginaw</t>
  </si>
  <si>
    <t>MI</t>
  </si>
  <si>
    <t>MarkSFlores@aol.com</t>
  </si>
  <si>
    <t>989-669-4705</t>
  </si>
  <si>
    <t>80-239</t>
  </si>
  <si>
    <t>JULIE</t>
  </si>
  <si>
    <t>B</t>
  </si>
  <si>
    <t>PURINGTON</t>
  </si>
  <si>
    <t>4953 Mahlon Street</t>
  </si>
  <si>
    <t>Piscataway</t>
  </si>
  <si>
    <t>JulieBPurington@hotmail.com</t>
  </si>
  <si>
    <t>732-981-4756</t>
  </si>
  <si>
    <t>10-8909</t>
  </si>
  <si>
    <t>DEBBIE</t>
  </si>
  <si>
    <t>SCHULER</t>
  </si>
  <si>
    <t>673 Mapleview Drive</t>
  </si>
  <si>
    <t>Bolivar</t>
  </si>
  <si>
    <t>TN</t>
  </si>
  <si>
    <t>DebbieJSchuler@hotmail.com</t>
  </si>
  <si>
    <t>731-228-0270</t>
  </si>
  <si>
    <t>82-160</t>
  </si>
  <si>
    <t>GRACE</t>
  </si>
  <si>
    <t>C</t>
  </si>
  <si>
    <t>RENNINGER</t>
  </si>
  <si>
    <t>2363 Oakmound Road</t>
  </si>
  <si>
    <t>Chicago</t>
  </si>
  <si>
    <t>GraceCRenninger@gmail.com</t>
  </si>
  <si>
    <t>773-250-4788</t>
  </si>
  <si>
    <t>50-939</t>
  </si>
  <si>
    <t>JAMES</t>
  </si>
  <si>
    <t>WEISS</t>
  </si>
  <si>
    <t>1278 Cemetery Street</t>
  </si>
  <si>
    <t>Houston</t>
  </si>
  <si>
    <t>JamesCWeiss@aol.com</t>
  </si>
  <si>
    <t>832-232-4190</t>
  </si>
  <si>
    <t>56-0787</t>
  </si>
  <si>
    <t>ADDIE</t>
  </si>
  <si>
    <t>STEVENSON</t>
  </si>
  <si>
    <t>336 Alpha Avenue</t>
  </si>
  <si>
    <t>Jacksonville</t>
  </si>
  <si>
    <t>FL</t>
  </si>
  <si>
    <t>AddieJStevenson@gmail.com</t>
  </si>
  <si>
    <t>904-248-2500</t>
  </si>
  <si>
    <t>29-5854</t>
  </si>
  <si>
    <t>PATRICK</t>
  </si>
  <si>
    <t>MCCURDY</t>
  </si>
  <si>
    <t>2166 North Avenue</t>
  </si>
  <si>
    <t>Kenesaw</t>
  </si>
  <si>
    <t>NE</t>
  </si>
  <si>
    <t>PatrickRMcCurdy@hotmail.com</t>
  </si>
  <si>
    <t>402-752-6280</t>
  </si>
  <si>
    <t>30-9019</t>
  </si>
  <si>
    <t>LAURA</t>
  </si>
  <si>
    <t>A</t>
  </si>
  <si>
    <t>HAILEY</t>
  </si>
  <si>
    <t>3684 North Street</t>
  </si>
  <si>
    <t>Ephraim</t>
  </si>
  <si>
    <t>UT</t>
  </si>
  <si>
    <t>LauraAHailey@aol.com</t>
  </si>
  <si>
    <t>435-283-1109</t>
  </si>
  <si>
    <t>44-701</t>
  </si>
  <si>
    <t>DANIEL</t>
  </si>
  <si>
    <t>GIRARD</t>
  </si>
  <si>
    <t>1678 Kelly Drive</t>
  </si>
  <si>
    <t>Shepherdstown</t>
  </si>
  <si>
    <t>WV</t>
  </si>
  <si>
    <t>DanielMGirard@aol.com</t>
  </si>
  <si>
    <t>304-870-4512</t>
  </si>
  <si>
    <t>27-7333</t>
  </si>
  <si>
    <t>QUEEN</t>
  </si>
  <si>
    <t>WATSON</t>
  </si>
  <si>
    <t>1697 Fincham Road</t>
  </si>
  <si>
    <t>Los Angeles</t>
  </si>
  <si>
    <t>QueenRWatson@gmail.com</t>
  </si>
  <si>
    <t>760-488-9781</t>
  </si>
  <si>
    <t>33-6756</t>
  </si>
  <si>
    <t>LISA</t>
  </si>
  <si>
    <t>TAYLOR</t>
  </si>
  <si>
    <t>3132 Deans Lane</t>
  </si>
  <si>
    <t>White Plains</t>
  </si>
  <si>
    <t>LisaMTaylor@gmail.com</t>
  </si>
  <si>
    <t>914-890-1038</t>
  </si>
  <si>
    <t>76-754</t>
  </si>
  <si>
    <t>EFRAIN</t>
  </si>
  <si>
    <t>BARRICK</t>
  </si>
  <si>
    <t>3277 Elk Creek Road</t>
  </si>
  <si>
    <t>Dunwoody</t>
  </si>
  <si>
    <t>GA</t>
  </si>
  <si>
    <t>EfrainDBarrick@aol.com</t>
  </si>
  <si>
    <t>770-522-8310</t>
  </si>
  <si>
    <t>09-855</t>
  </si>
  <si>
    <t>ROBERT</t>
  </si>
  <si>
    <t>Z</t>
  </si>
  <si>
    <t>SALADIN</t>
  </si>
  <si>
    <t>2840 Yorkshire Circle</t>
  </si>
  <si>
    <t>Wilson</t>
  </si>
  <si>
    <t>NC</t>
  </si>
  <si>
    <t>RobertZSaladin@aol.com</t>
  </si>
  <si>
    <t>252-296-0325</t>
  </si>
  <si>
    <t>95-2433</t>
  </si>
  <si>
    <t>CYNTHIA</t>
  </si>
  <si>
    <t>W</t>
  </si>
  <si>
    <t>REYES</t>
  </si>
  <si>
    <t>4409 Kovar Road</t>
  </si>
  <si>
    <t>Easton</t>
  </si>
  <si>
    <t>MA</t>
  </si>
  <si>
    <t>CynthiaWReyes@hotmail.com</t>
  </si>
  <si>
    <t>508-565-7448</t>
  </si>
  <si>
    <t>10-2471</t>
  </si>
  <si>
    <t>PATRICIA</t>
  </si>
  <si>
    <t>V</t>
  </si>
  <si>
    <t>ALDERETE</t>
  </si>
  <si>
    <t>3503 Hannah Street</t>
  </si>
  <si>
    <t>Charlotte</t>
  </si>
  <si>
    <t>PatriciaVAlderete@gmail.com</t>
  </si>
  <si>
    <t>828-426-4327</t>
  </si>
  <si>
    <t>10-3161</t>
  </si>
  <si>
    <t>CYRSTAL</t>
  </si>
  <si>
    <t>REID</t>
  </si>
  <si>
    <t>205 Red Dog Road</t>
  </si>
  <si>
    <t>CyrstalRReid@aol.com</t>
  </si>
  <si>
    <t>704-330-8800</t>
  </si>
  <si>
    <t>05-835</t>
  </si>
  <si>
    <t>JONATHAN</t>
  </si>
  <si>
    <t>TUBBS</t>
  </si>
  <si>
    <t>4339 Oakridge Lane</t>
  </si>
  <si>
    <t>JonathanCTubbs@gmail.com</t>
  </si>
  <si>
    <t>469-916-2924</t>
  </si>
  <si>
    <t>50-436</t>
  </si>
  <si>
    <t>VONDA</t>
  </si>
  <si>
    <t>ORBISON</t>
  </si>
  <si>
    <t>791 Levy Court</t>
  </si>
  <si>
    <t>Boston</t>
  </si>
  <si>
    <t>VondaCOrbison@hotmail.com</t>
  </si>
  <si>
    <t>978-709-5147</t>
  </si>
  <si>
    <t>78-4788</t>
  </si>
  <si>
    <t>PAULA</t>
  </si>
  <si>
    <t>T</t>
  </si>
  <si>
    <t>OSBORN</t>
  </si>
  <si>
    <t>3544 Old House Drive</t>
  </si>
  <si>
    <t>Columbus</t>
  </si>
  <si>
    <t>OH</t>
  </si>
  <si>
    <t>PaulaTOsborn@hotmail.com</t>
  </si>
  <si>
    <t>740-879-2454</t>
  </si>
  <si>
    <t>36-501</t>
  </si>
  <si>
    <t>LILLIE</t>
  </si>
  <si>
    <t>BOHANON</t>
  </si>
  <si>
    <t>1899 Stonepot Road</t>
  </si>
  <si>
    <t>Newark</t>
  </si>
  <si>
    <t>LillieRBohanon@hotmail.com</t>
  </si>
  <si>
    <t>908-458-6834</t>
  </si>
  <si>
    <t>80-061</t>
  </si>
  <si>
    <t>JANE</t>
  </si>
  <si>
    <t>TAPIA</t>
  </si>
  <si>
    <t>3257 Lunetta Street</t>
  </si>
  <si>
    <t>Fort Myers</t>
  </si>
  <si>
    <t>JaneJTapia@hotmail.com</t>
  </si>
  <si>
    <t>941-326-9242</t>
  </si>
  <si>
    <t>88-559</t>
  </si>
  <si>
    <t>GENE</t>
  </si>
  <si>
    <t>VAUGHN</t>
  </si>
  <si>
    <t>3811 Eagle Lane</t>
  </si>
  <si>
    <t>Virginia</t>
  </si>
  <si>
    <t>MN</t>
  </si>
  <si>
    <t>GeneEVaughn@aol.com</t>
  </si>
  <si>
    <t>218-741-8941</t>
  </si>
  <si>
    <t>68-325</t>
  </si>
  <si>
    <t>MICHELE</t>
  </si>
  <si>
    <t>RICHARD</t>
  </si>
  <si>
    <t>4227 Poplar Chase Lane</t>
  </si>
  <si>
    <t>Spokane</t>
  </si>
  <si>
    <t>ID</t>
  </si>
  <si>
    <t>MicheleARichard@aol.com</t>
  </si>
  <si>
    <t>208-305-3790</t>
  </si>
  <si>
    <t>61-3987</t>
  </si>
  <si>
    <t>ANTHONY</t>
  </si>
  <si>
    <t>RICHMOND</t>
  </si>
  <si>
    <t>4845 Rardin Drive</t>
  </si>
  <si>
    <t>Millbrae</t>
  </si>
  <si>
    <t>AnthonyDRichmond@aol.com</t>
  </si>
  <si>
    <t>650-652-2518</t>
  </si>
  <si>
    <t>64-7814</t>
  </si>
  <si>
    <t>GEORGE</t>
  </si>
  <si>
    <t>L</t>
  </si>
  <si>
    <t>BARNES</t>
  </si>
  <si>
    <t>3428 Irving Place</t>
  </si>
  <si>
    <t>Saint Louis</t>
  </si>
  <si>
    <t>MO</t>
  </si>
  <si>
    <t>GeorgeLBarnes@aol.com</t>
  </si>
  <si>
    <t>636-243-3984</t>
  </si>
  <si>
    <t>04-139</t>
  </si>
  <si>
    <t>CRAIG</t>
  </si>
  <si>
    <t>LOWE</t>
  </si>
  <si>
    <t>726 Fort Street</t>
  </si>
  <si>
    <t>Greenville</t>
  </si>
  <si>
    <t>CraigLLowe@aol.com</t>
  </si>
  <si>
    <t>252-902-3809</t>
  </si>
  <si>
    <t>71-1481</t>
  </si>
  <si>
    <t>JENNIFER</t>
  </si>
  <si>
    <t>NGUYEN</t>
  </si>
  <si>
    <t>4709 Brannon Street</t>
  </si>
  <si>
    <t>JenniferJNguyen@gmail.com</t>
  </si>
  <si>
    <t>213-303-6605</t>
  </si>
  <si>
    <t>97-156</t>
  </si>
  <si>
    <t>KEITH</t>
  </si>
  <si>
    <t>G</t>
  </si>
  <si>
    <t>KIZER</t>
  </si>
  <si>
    <t>977 East Avenue</t>
  </si>
  <si>
    <t>Mesa</t>
  </si>
  <si>
    <t>AZ</t>
  </si>
  <si>
    <t>KeithGKizer@hotmail.com</t>
  </si>
  <si>
    <t>480-325-0082</t>
  </si>
  <si>
    <t>22-356</t>
  </si>
  <si>
    <t>APODACA</t>
  </si>
  <si>
    <t>1792 Queens Lane</t>
  </si>
  <si>
    <t>Palmyra</t>
  </si>
  <si>
    <t>JosephFApodaca@hotmail.com</t>
  </si>
  <si>
    <t>434-591-6520</t>
  </si>
  <si>
    <t>48-1851</t>
  </si>
  <si>
    <t>MELISSA</t>
  </si>
  <si>
    <t>4416 Woodstock Drive</t>
  </si>
  <si>
    <t>MelissaJRodriguez@hotmail.com</t>
  </si>
  <si>
    <t>626-549-9751</t>
  </si>
  <si>
    <t>55-6767</t>
  </si>
  <si>
    <t>DENT</t>
  </si>
  <si>
    <t>3500 Tetrick Road</t>
  </si>
  <si>
    <t>Winter Haven</t>
  </si>
  <si>
    <t>PatriciaCDent@aol.com</t>
  </si>
  <si>
    <t>863-401-8012</t>
  </si>
  <si>
    <t>52-0115</t>
  </si>
  <si>
    <t>GOLDIE</t>
  </si>
  <si>
    <t>CASTANEDA</t>
  </si>
  <si>
    <t>3520 Aviation Way</t>
  </si>
  <si>
    <t>GoldieDCastaneda@gmail.com</t>
  </si>
  <si>
    <t>213-968-0522</t>
  </si>
  <si>
    <t>49-980</t>
  </si>
  <si>
    <t>KERA</t>
  </si>
  <si>
    <t>DAVIDSON</t>
  </si>
  <si>
    <t>4601 Hillcrest Avenue</t>
  </si>
  <si>
    <t>Cambridge</t>
  </si>
  <si>
    <t>KeraMDavidson@hotmail.com</t>
  </si>
  <si>
    <t>781-905-8246</t>
  </si>
  <si>
    <t>24-945</t>
  </si>
  <si>
    <t>DONNA</t>
  </si>
  <si>
    <t>BARNETTE</t>
  </si>
  <si>
    <t>2498 Ersel Street</t>
  </si>
  <si>
    <t>DonnaBBarnette@gmail.com</t>
  </si>
  <si>
    <t>214-336-5063</t>
  </si>
  <si>
    <t>38-496</t>
  </si>
  <si>
    <t>KELLIE</t>
  </si>
  <si>
    <t>BROWN</t>
  </si>
  <si>
    <t>2988 Pine Tree Lane</t>
  </si>
  <si>
    <t>Reston</t>
  </si>
  <si>
    <t>MD</t>
  </si>
  <si>
    <t>KellieABrown@hotmail.com</t>
  </si>
  <si>
    <t>240-363-9620</t>
  </si>
  <si>
    <t>43-606</t>
  </si>
  <si>
    <t>VENA</t>
  </si>
  <si>
    <t>HAMILTON</t>
  </si>
  <si>
    <t>922 Brookview Drive</t>
  </si>
  <si>
    <t>Beaumont</t>
  </si>
  <si>
    <t>VenaJHamilton@hotmail.com</t>
  </si>
  <si>
    <t>409-232-1330</t>
  </si>
  <si>
    <t>05-7652</t>
  </si>
  <si>
    <t>PRALL</t>
  </si>
  <si>
    <t>2147 Lords Way</t>
  </si>
  <si>
    <t>Union City</t>
  </si>
  <si>
    <t>JulieFPrall@aol.com</t>
  </si>
  <si>
    <t>731-884-2771</t>
  </si>
  <si>
    <t>15-9769</t>
  </si>
  <si>
    <t>VICTOR</t>
  </si>
  <si>
    <t>WILLIAMS</t>
  </si>
  <si>
    <t>816 Glory Road</t>
  </si>
  <si>
    <t>Nashville</t>
  </si>
  <si>
    <t>VictorBWilliams@gmail.com</t>
  </si>
  <si>
    <t>931-735-0448</t>
  </si>
  <si>
    <t>01-6978</t>
  </si>
  <si>
    <t>GRACIE</t>
  </si>
  <si>
    <t>GONZALEZ</t>
  </si>
  <si>
    <t>292 Sweetwood Drive</t>
  </si>
  <si>
    <t>Denver</t>
  </si>
  <si>
    <t>CO</t>
  </si>
  <si>
    <t>GracieRGonzalez@aol.com</t>
  </si>
  <si>
    <t>303-376-7959</t>
  </si>
  <si>
    <t>05-7511</t>
  </si>
  <si>
    <t>LEONILA</t>
  </si>
  <si>
    <t>BOMBARD</t>
  </si>
  <si>
    <t>1997 Willis Avenue</t>
  </si>
  <si>
    <t>Port Orange</t>
  </si>
  <si>
    <t>LeonilaSBombard@hotmail.com</t>
  </si>
  <si>
    <t>386-562-8256</t>
  </si>
  <si>
    <t>07-998</t>
  </si>
  <si>
    <t>CHRISTINA</t>
  </si>
  <si>
    <t>RICHTER</t>
  </si>
  <si>
    <t>3169 Wilkinson Court</t>
  </si>
  <si>
    <t>ChristinaMRichter@hotmail.com</t>
  </si>
  <si>
    <t>239-633-4155</t>
  </si>
  <si>
    <t>15-9162</t>
  </si>
  <si>
    <t>BRENDA</t>
  </si>
  <si>
    <t>HODGES</t>
  </si>
  <si>
    <t>1795 Fraggle Drive</t>
  </si>
  <si>
    <t>BrendaKHodges@aol.com</t>
  </si>
  <si>
    <t>630-354-1426</t>
  </si>
  <si>
    <t>54-020</t>
  </si>
  <si>
    <t>CARMELO</t>
  </si>
  <si>
    <t>PREUSS</t>
  </si>
  <si>
    <t>2545 Lang Avenue</t>
  </si>
  <si>
    <t>Ticaboo</t>
  </si>
  <si>
    <t>CarmeloAPreuss@aol.com</t>
  </si>
  <si>
    <t>435-788-1677</t>
  </si>
  <si>
    <t>81-635</t>
  </si>
  <si>
    <t>DAVID</t>
  </si>
  <si>
    <t>SISCO</t>
  </si>
  <si>
    <t>3552 Buckhannan Avenue</t>
  </si>
  <si>
    <t>Syracuse</t>
  </si>
  <si>
    <t>DavidCSisco@gmail.com</t>
  </si>
  <si>
    <t>315-479-9958</t>
  </si>
  <si>
    <t>05-354</t>
  </si>
  <si>
    <t>TERRY</t>
  </si>
  <si>
    <t>GILBERT</t>
  </si>
  <si>
    <t>1787 Hornor Avenue</t>
  </si>
  <si>
    <t>Hallett</t>
  </si>
  <si>
    <t>OK</t>
  </si>
  <si>
    <t>TerryJGilbert@hotmail.com</t>
  </si>
  <si>
    <t>918-356-3119</t>
  </si>
  <si>
    <t>88-962</t>
  </si>
  <si>
    <t>HOMER</t>
  </si>
  <si>
    <t>LATHAM</t>
  </si>
  <si>
    <t>2930 Hartway Street</t>
  </si>
  <si>
    <t>Goodwin</t>
  </si>
  <si>
    <t>SD</t>
  </si>
  <si>
    <t>HomerRLatham@aol.com</t>
  </si>
  <si>
    <t>605-795-1731</t>
  </si>
  <si>
    <t>50-6207</t>
  </si>
  <si>
    <t>ARGENTINA</t>
  </si>
  <si>
    <t>CLARK</t>
  </si>
  <si>
    <t>4249 Orphan Road</t>
  </si>
  <si>
    <t>Cheektowaga</t>
  </si>
  <si>
    <t>ArgentinaLClark@hotmail.com</t>
  </si>
  <si>
    <t>716-228-4814</t>
  </si>
  <si>
    <t>36-6051</t>
  </si>
  <si>
    <t>RAYMOND</t>
  </si>
  <si>
    <t>377 Warner Street</t>
  </si>
  <si>
    <t>Ft Lauderdale</t>
  </si>
  <si>
    <t>RaymondMTaylor@gmail.com</t>
  </si>
  <si>
    <t>305-965-4543</t>
  </si>
  <si>
    <t>70-6996</t>
  </si>
  <si>
    <t>HARRISON</t>
  </si>
  <si>
    <t>4023 Smithfield Avenue</t>
  </si>
  <si>
    <t>Amarillo</t>
  </si>
  <si>
    <t>PatriciaCHarrison@hotmail.com</t>
  </si>
  <si>
    <t>806-664-5258</t>
  </si>
  <si>
    <t>58-6390</t>
  </si>
  <si>
    <t>KING</t>
  </si>
  <si>
    <t>3737 Stratford Park</t>
  </si>
  <si>
    <t>Vincennes</t>
  </si>
  <si>
    <t>IN</t>
  </si>
  <si>
    <t>RobertKKing@hotmail.com</t>
  </si>
  <si>
    <t>812-881-5928</t>
  </si>
  <si>
    <t>15-222</t>
  </si>
  <si>
    <t>PEDRO</t>
  </si>
  <si>
    <t>PADGETT</t>
  </si>
  <si>
    <t>1636 Lake Road</t>
  </si>
  <si>
    <t>Camden</t>
  </si>
  <si>
    <t>PedroMPadgett@hotmail.com</t>
  </si>
  <si>
    <t>609-326-3881</t>
  </si>
  <si>
    <t>08-475</t>
  </si>
  <si>
    <t>MCLAUGHLIN</t>
  </si>
  <si>
    <t>2751 Walnut Street</t>
  </si>
  <si>
    <t>Buckatunna</t>
  </si>
  <si>
    <t>MS</t>
  </si>
  <si>
    <t>JohnRMcLaughlin@hotmail.com</t>
  </si>
  <si>
    <t>601-648-9349</t>
  </si>
  <si>
    <t>92-709</t>
  </si>
  <si>
    <t>LAKESHA</t>
  </si>
  <si>
    <t>JOHNSON</t>
  </si>
  <si>
    <t>4832 Harley Brook Lane</t>
  </si>
  <si>
    <t>Patton</t>
  </si>
  <si>
    <t>PA</t>
  </si>
  <si>
    <t>LakeshaTJohnson@hotmail.com</t>
  </si>
  <si>
    <t>814-674-1968</t>
  </si>
  <si>
    <t>58-7331</t>
  </si>
  <si>
    <t>LUCINDA</t>
  </si>
  <si>
    <t>GRIBBLE</t>
  </si>
  <si>
    <t>2075 Gore Street</t>
  </si>
  <si>
    <t>LucindaRGribble@aol.com</t>
  </si>
  <si>
    <t>713-609-8148</t>
  </si>
  <si>
    <t>39-976</t>
  </si>
  <si>
    <t>MILDRED</t>
  </si>
  <si>
    <t>GREENE</t>
  </si>
  <si>
    <t>2538 Laurel Lane</t>
  </si>
  <si>
    <t>Terminal</t>
  </si>
  <si>
    <t>MildredDGreene@aol.com</t>
  </si>
  <si>
    <t>432-495-7060</t>
  </si>
  <si>
    <t>87-596</t>
  </si>
  <si>
    <t>SALLY</t>
  </si>
  <si>
    <t>HAYES</t>
  </si>
  <si>
    <t>3782 Southern Avenue</t>
  </si>
  <si>
    <t>Mason City</t>
  </si>
  <si>
    <t>IA</t>
  </si>
  <si>
    <t>SallyDHayes@hotmail.com</t>
  </si>
  <si>
    <t>641-422-1921</t>
  </si>
  <si>
    <t>88-0077</t>
  </si>
  <si>
    <t>AUGUSTINE</t>
  </si>
  <si>
    <t>1956 Thunder Road</t>
  </si>
  <si>
    <t>Burlingame</t>
  </si>
  <si>
    <t>AugustineKTaylor@aol.com</t>
  </si>
  <si>
    <t>650-548-4339</t>
  </si>
  <si>
    <t>06-981</t>
  </si>
  <si>
    <t>EDWARD</t>
  </si>
  <si>
    <t>KELLEY</t>
  </si>
  <si>
    <t>4711 Wiseman Street</t>
  </si>
  <si>
    <t>Knoxville</t>
  </si>
  <si>
    <t>EdwardJKelley@aol.com</t>
  </si>
  <si>
    <t>865-377-0614</t>
  </si>
  <si>
    <t>80-865</t>
  </si>
  <si>
    <t>MEI</t>
  </si>
  <si>
    <t>LOPEZ</t>
  </si>
  <si>
    <t>2992 Frank Avenue</t>
  </si>
  <si>
    <t>Pittsburgh</t>
  </si>
  <si>
    <t>MeiRLopez@hotmail.com</t>
  </si>
  <si>
    <t>412-978-6619</t>
  </si>
  <si>
    <t>22-120</t>
  </si>
  <si>
    <t>KATHERINE</t>
  </si>
  <si>
    <t>KENNEDY</t>
  </si>
  <si>
    <t>89 Bates Brothers Road</t>
  </si>
  <si>
    <t>KatherineCKennedy@hotmail.com</t>
  </si>
  <si>
    <t>614-245-0377</t>
  </si>
  <si>
    <t>02-367</t>
  </si>
  <si>
    <t>TREVINO</t>
  </si>
  <si>
    <t>1950 Eagles Nest Drive</t>
  </si>
  <si>
    <t>Placerville</t>
  </si>
  <si>
    <t>JenniferLTrevino@aol.com</t>
  </si>
  <si>
    <t>530-621-7352</t>
  </si>
  <si>
    <t>65-7087</t>
  </si>
  <si>
    <t>MOORE</t>
  </si>
  <si>
    <t>3751 Webster Street</t>
  </si>
  <si>
    <t>New Brunswick</t>
  </si>
  <si>
    <t>JamesMMoore@aol.com</t>
  </si>
  <si>
    <t>732-628-4048</t>
  </si>
  <si>
    <t>70-8126</t>
  </si>
  <si>
    <t>WEATHERLY</t>
  </si>
  <si>
    <t>4034 May Street</t>
  </si>
  <si>
    <t>Ewing</t>
  </si>
  <si>
    <t>KY</t>
  </si>
  <si>
    <t>DanielMWeatherly@hotmail.com</t>
  </si>
  <si>
    <t>606-267-0391</t>
  </si>
  <si>
    <t>55-591</t>
  </si>
  <si>
    <t>CHRISTINE</t>
  </si>
  <si>
    <t>STAFF</t>
  </si>
  <si>
    <t>2560 Happy Hollow Road</t>
  </si>
  <si>
    <t>Wilmington</t>
  </si>
  <si>
    <t>ChristineWStaff@gmail.com</t>
  </si>
  <si>
    <t>910-617-0285</t>
  </si>
  <si>
    <t>66-5678</t>
  </si>
  <si>
    <t>MARY</t>
  </si>
  <si>
    <t>CASTLE</t>
  </si>
  <si>
    <t>4337 Arbutus Drive</t>
  </si>
  <si>
    <t>Miami Springs</t>
  </si>
  <si>
    <t>MarySCastle@aol.com</t>
  </si>
  <si>
    <t>305-886-6290</t>
  </si>
  <si>
    <t>16-6026</t>
  </si>
  <si>
    <t>ANTONIO</t>
  </si>
  <si>
    <t>EDER</t>
  </si>
  <si>
    <t>4113 University Hill Road</t>
  </si>
  <si>
    <t>Witt</t>
  </si>
  <si>
    <t>AntonioKEder@gmail.com</t>
  </si>
  <si>
    <t>217-594-5606</t>
  </si>
  <si>
    <t>98-9044</t>
  </si>
  <si>
    <t>ELDREDGE</t>
  </si>
  <si>
    <t>2384 Penn Street</t>
  </si>
  <si>
    <t>Columbia</t>
  </si>
  <si>
    <t>RobertCEldredge@hotmail.com</t>
  </si>
  <si>
    <t>573-304-9439</t>
  </si>
  <si>
    <t>10-0649</t>
  </si>
  <si>
    <t>ABERNATHY</t>
  </si>
  <si>
    <t>2731 Mount Street</t>
  </si>
  <si>
    <t>Merrill</t>
  </si>
  <si>
    <t>TerryAAbernathy@aol.com</t>
  </si>
  <si>
    <t>989-643-6862</t>
  </si>
  <si>
    <t>26-6263</t>
  </si>
  <si>
    <t>OLIVER</t>
  </si>
  <si>
    <t>345 Turnpike Drive</t>
  </si>
  <si>
    <t>Birmingham</t>
  </si>
  <si>
    <t>MaryLOliver@gmail.com</t>
  </si>
  <si>
    <t>256-375-9210</t>
  </si>
  <si>
    <t>01-3721</t>
  </si>
  <si>
    <t>SYLVIA</t>
  </si>
  <si>
    <t>PROVENCHER</t>
  </si>
  <si>
    <t>2563 Oak Drive</t>
  </si>
  <si>
    <t>Indian Lake</t>
  </si>
  <si>
    <t>SylviaPProvencher@hotmail.com</t>
  </si>
  <si>
    <t>518-648-2133</t>
  </si>
  <si>
    <t>64-743</t>
  </si>
  <si>
    <t>MICHAEL</t>
  </si>
  <si>
    <t>BUTTERS</t>
  </si>
  <si>
    <t>1700 Glenwood Avenue</t>
  </si>
  <si>
    <t>Cleveland</t>
  </si>
  <si>
    <t>MichaelJButters@aol.com</t>
  </si>
  <si>
    <t>216-357-0590</t>
  </si>
  <si>
    <t>88-6212</t>
  </si>
  <si>
    <t>EDUARDO</t>
  </si>
  <si>
    <t>HARRIS</t>
  </si>
  <si>
    <t>880 Columbia Boulevard</t>
  </si>
  <si>
    <t>Baltimore</t>
  </si>
  <si>
    <t>EduardoMHarris@gmail.com</t>
  </si>
  <si>
    <t>410-403-8606</t>
  </si>
  <si>
    <t>01-9829</t>
  </si>
  <si>
    <t>JANET</t>
  </si>
  <si>
    <t>GODFREY</t>
  </si>
  <si>
    <t>4249 Johnson Street</t>
  </si>
  <si>
    <t>Raleigh</t>
  </si>
  <si>
    <t>JanetBGodfrey@hotmail.com</t>
  </si>
  <si>
    <t>919-860-7881</t>
  </si>
  <si>
    <t>93-9086</t>
  </si>
  <si>
    <t>THELMA</t>
  </si>
  <si>
    <t>MCCARTHY</t>
  </si>
  <si>
    <t>1722 Romano Street</t>
  </si>
  <si>
    <t>Woburn</t>
  </si>
  <si>
    <t>ThelmaRMcCarthy@hotmail.com</t>
  </si>
  <si>
    <t>781-405-0924</t>
  </si>
  <si>
    <t>26-414</t>
  </si>
  <si>
    <t>FRAN</t>
  </si>
  <si>
    <t>RITCHIE</t>
  </si>
  <si>
    <t>4518 Old Dear Lane</t>
  </si>
  <si>
    <t>Milton</t>
  </si>
  <si>
    <t>FranMRitchie@hotmail.com</t>
  </si>
  <si>
    <t>845-795-1923</t>
  </si>
  <si>
    <t>54-094</t>
  </si>
  <si>
    <t>THOMPSON</t>
  </si>
  <si>
    <t>210 Heather Sees Way</t>
  </si>
  <si>
    <t>Muskogee</t>
  </si>
  <si>
    <t>LisaDThompson@hotmail.com</t>
  </si>
  <si>
    <t>918-684-5481</t>
  </si>
  <si>
    <t>09-289</t>
  </si>
  <si>
    <t>GREGGS</t>
  </si>
  <si>
    <t>2906 Cost Avenue</t>
  </si>
  <si>
    <t>Hyattsville</t>
  </si>
  <si>
    <t>GeorgeLGreggs@aol.com</t>
  </si>
  <si>
    <t>301-403-7868</t>
  </si>
  <si>
    <t>52-3869</t>
  </si>
  <si>
    <t>DORA</t>
  </si>
  <si>
    <t>BURRIS</t>
  </si>
  <si>
    <t>4692 Clarence Court</t>
  </si>
  <si>
    <t>DoraSBurris@gmail.com</t>
  </si>
  <si>
    <t>909-960-4178</t>
  </si>
  <si>
    <t>36-9420</t>
  </si>
  <si>
    <t>WANDA</t>
  </si>
  <si>
    <t>SCHULTZ</t>
  </si>
  <si>
    <t>2161 Delaware Avenue</t>
  </si>
  <si>
    <t>San Francisco</t>
  </si>
  <si>
    <t>WandaDSchultz@hotmail.com</t>
  </si>
  <si>
    <t>415-239-2560</t>
  </si>
  <si>
    <t>62-281</t>
  </si>
  <si>
    <t>JASON</t>
  </si>
  <si>
    <t>PAVON</t>
  </si>
  <si>
    <t>4012 Zappia Drive</t>
  </si>
  <si>
    <t>Winchester</t>
  </si>
  <si>
    <t>JasonLPavon@hotmail.com</t>
  </si>
  <si>
    <t>859-319-0659</t>
  </si>
  <si>
    <t>84-060</t>
  </si>
  <si>
    <t>JANNETTE</t>
  </si>
  <si>
    <t>900 Green Avenue</t>
  </si>
  <si>
    <t>Berkeley</t>
  </si>
  <si>
    <t>JannetteJAnthony@gmail.com</t>
  </si>
  <si>
    <t>510-849-5795</t>
  </si>
  <si>
    <t>30-8295</t>
  </si>
  <si>
    <t>KATRINA</t>
  </si>
  <si>
    <t>STULL</t>
  </si>
  <si>
    <t>4489 Isaacs Creek Road</t>
  </si>
  <si>
    <t>Springfield</t>
  </si>
  <si>
    <t>KatrinaRStull@hotmail.com</t>
  </si>
  <si>
    <t>217-470-3255</t>
  </si>
  <si>
    <t>52-269</t>
  </si>
  <si>
    <t>RUSSELL</t>
  </si>
  <si>
    <t>LOFTON</t>
  </si>
  <si>
    <t>321 Wines Lane</t>
  </si>
  <si>
    <t>RussellJLofton@aol.com</t>
  </si>
  <si>
    <t>832-265-2122</t>
  </si>
  <si>
    <t>34-7539</t>
  </si>
  <si>
    <t>MAY</t>
  </si>
  <si>
    <t>361 Tator Patch Road</t>
  </si>
  <si>
    <t>JohnBMay@hotmail.com</t>
  </si>
  <si>
    <t>312-826-8635</t>
  </si>
  <si>
    <t>70-6483</t>
  </si>
  <si>
    <t>ANN</t>
  </si>
  <si>
    <t>TILTON</t>
  </si>
  <si>
    <t>2721 Peck Street</t>
  </si>
  <si>
    <t>Marlboro</t>
  </si>
  <si>
    <t>NH</t>
  </si>
  <si>
    <t>AnnCTilton@hotmail.com</t>
  </si>
  <si>
    <t>603-876-8330</t>
  </si>
  <si>
    <t>09-1094</t>
  </si>
  <si>
    <t>ERIC</t>
  </si>
  <si>
    <t>YOUNG</t>
  </si>
  <si>
    <t>4267 Duck Creek Road</t>
  </si>
  <si>
    <t>Brisbane</t>
  </si>
  <si>
    <t>EricTYoung@hotmail.com</t>
  </si>
  <si>
    <t>650-776-7291</t>
  </si>
  <si>
    <t>56-681</t>
  </si>
  <si>
    <t>FRIAR</t>
  </si>
  <si>
    <t>4778 Hannah Street</t>
  </si>
  <si>
    <t>Asheville</t>
  </si>
  <si>
    <t>JamesFFriar@aol.com</t>
  </si>
  <si>
    <t>828-377-2478</t>
  </si>
  <si>
    <t>03-368</t>
  </si>
  <si>
    <t>CRUM</t>
  </si>
  <si>
    <t>1604 Woodbridge Lane</t>
  </si>
  <si>
    <t>Detroit</t>
  </si>
  <si>
    <t>DavidDCrum@gmail.com</t>
  </si>
  <si>
    <t>313-577-3173</t>
  </si>
  <si>
    <t>68-5201</t>
  </si>
  <si>
    <t>GLORIA</t>
  </si>
  <si>
    <t>TORRES</t>
  </si>
  <si>
    <t>1576 Jerry Toth Drive</t>
  </si>
  <si>
    <t>Anchorage</t>
  </si>
  <si>
    <t>AK</t>
  </si>
  <si>
    <t>GloriaSTorres@gmail.com</t>
  </si>
  <si>
    <t>907-563-9002</t>
  </si>
  <si>
    <t>24-490</t>
  </si>
  <si>
    <t>DERRICK</t>
  </si>
  <si>
    <t>N</t>
  </si>
  <si>
    <t>2359 Turkey Pen Lane</t>
  </si>
  <si>
    <t>Holtville</t>
  </si>
  <si>
    <t>DerrickNBrown@gmail.com</t>
  </si>
  <si>
    <t>334-569-9587</t>
  </si>
  <si>
    <t>25-747</t>
  </si>
  <si>
    <t>ALLEN</t>
  </si>
  <si>
    <t>3143 Hardman Road</t>
  </si>
  <si>
    <t>Brattleboro</t>
  </si>
  <si>
    <t>VT</t>
  </si>
  <si>
    <t>DavidCAllen@hotmail.com</t>
  </si>
  <si>
    <t>802-817-4962</t>
  </si>
  <si>
    <t>12-9079</t>
  </si>
  <si>
    <t>TRACIE</t>
  </si>
  <si>
    <t>SELLERS</t>
  </si>
  <si>
    <t>472 Fort Street</t>
  </si>
  <si>
    <t>Kinston</t>
  </si>
  <si>
    <t>TracieBSellers@hotmail.com</t>
  </si>
  <si>
    <t>252-939-9519</t>
  </si>
  <si>
    <t>50-977</t>
  </si>
  <si>
    <t>ROCKY</t>
  </si>
  <si>
    <t>WEATHERSPOON</t>
  </si>
  <si>
    <t>850 Stanley Avenue</t>
  </si>
  <si>
    <t>Hicksville</t>
  </si>
  <si>
    <t>RockyCWeatherspoon@hotmail.com</t>
  </si>
  <si>
    <t>516-545-5590</t>
  </si>
  <si>
    <t>09-3513</t>
  </si>
  <si>
    <t>KEVIN</t>
  </si>
  <si>
    <t>GIBSON</t>
  </si>
  <si>
    <t>4577 Zimmerman Lane</t>
  </si>
  <si>
    <t>KevinMGibson@hotmail.com</t>
  </si>
  <si>
    <t>213-517-4820</t>
  </si>
  <si>
    <t>86-868</t>
  </si>
  <si>
    <t>ELAINE</t>
  </si>
  <si>
    <t>CUNNINGHAM</t>
  </si>
  <si>
    <t>4941 Viking Drive</t>
  </si>
  <si>
    <t>Worthington</t>
  </si>
  <si>
    <t>ElaineBCunningham@gmail.com</t>
  </si>
  <si>
    <t>740-721-7555</t>
  </si>
  <si>
    <t>20-618</t>
  </si>
  <si>
    <t>CHARLES</t>
  </si>
  <si>
    <t>CASTRO</t>
  </si>
  <si>
    <t>2165 Michigan Avenue</t>
  </si>
  <si>
    <t>New Stanton</t>
  </si>
  <si>
    <t>CharlesSCastro@gmail.com</t>
  </si>
  <si>
    <t>724-696-9820</t>
  </si>
  <si>
    <t>30-532</t>
  </si>
  <si>
    <t>LES</t>
  </si>
  <si>
    <t>LAWHON</t>
  </si>
  <si>
    <t>3075 Westwood Avenue</t>
  </si>
  <si>
    <t>LesNLawhon@hotmail.com</t>
  </si>
  <si>
    <t>516-802-1216</t>
  </si>
  <si>
    <t>28-827</t>
  </si>
  <si>
    <t>RONALD</t>
  </si>
  <si>
    <t>GORDON</t>
  </si>
  <si>
    <t>4048 Courtright Street</t>
  </si>
  <si>
    <t>Minneapolis</t>
  </si>
  <si>
    <t>ND</t>
  </si>
  <si>
    <t>RonaldEGordon@gmail.com</t>
  </si>
  <si>
    <t>701-555-3444</t>
  </si>
  <si>
    <t>26-2475</t>
  </si>
  <si>
    <t>KENNETH</t>
  </si>
  <si>
    <t>I</t>
  </si>
  <si>
    <t>1634 Patterson Fork Road</t>
  </si>
  <si>
    <t>KennethIHarris@hotmail.com</t>
  </si>
  <si>
    <t>312-675-4767</t>
  </si>
  <si>
    <t>66-905</t>
  </si>
  <si>
    <t>NICOLE</t>
  </si>
  <si>
    <t>PEREZ</t>
  </si>
  <si>
    <t>3673 Weekley Street</t>
  </si>
  <si>
    <t>San Antonio</t>
  </si>
  <si>
    <t>NicoleBPerez@aol.com</t>
  </si>
  <si>
    <t>210-332-7713</t>
  </si>
  <si>
    <t>58-2864</t>
  </si>
  <si>
    <t>MICHELLE</t>
  </si>
  <si>
    <t>KEOWN</t>
  </si>
  <si>
    <t>1993 Tipple Road</t>
  </si>
  <si>
    <t>Philadelphia</t>
  </si>
  <si>
    <t>MichelleCKeown@gmail.com</t>
  </si>
  <si>
    <t>215-790-4399</t>
  </si>
  <si>
    <t>14-5193</t>
  </si>
  <si>
    <t>DOUCETTE</t>
  </si>
  <si>
    <t>3416 Tyler Avenue</t>
  </si>
  <si>
    <t>SueJDoucette@hotmail.com</t>
  </si>
  <si>
    <t>305-308-0272</t>
  </si>
  <si>
    <t>02-925</t>
  </si>
  <si>
    <t>LILLIAN</t>
  </si>
  <si>
    <t>KLINE</t>
  </si>
  <si>
    <t>4188 Sun Valley Road</t>
  </si>
  <si>
    <t>Yakima</t>
  </si>
  <si>
    <t>WA</t>
  </si>
  <si>
    <t>LillianJKline@hotmail.com</t>
  </si>
  <si>
    <t>509-790-0804</t>
  </si>
  <si>
    <t>94-431</t>
  </si>
  <si>
    <t>LINDA</t>
  </si>
  <si>
    <t>CHASSE</t>
  </si>
  <si>
    <t>4155 Kembery Drive</t>
  </si>
  <si>
    <t>Schaumburg</t>
  </si>
  <si>
    <t>LindaHChasse@aol.com</t>
  </si>
  <si>
    <t>630-602-5913</t>
  </si>
  <si>
    <t>24-3647</t>
  </si>
  <si>
    <t>JEAN</t>
  </si>
  <si>
    <t>GARCIA</t>
  </si>
  <si>
    <t>4646 Lynn Street</t>
  </si>
  <si>
    <t>JeanRGarcia@hotmail.com</t>
  </si>
  <si>
    <t>617-226-8333</t>
  </si>
  <si>
    <t>88-8139</t>
  </si>
  <si>
    <t>SEAN</t>
  </si>
  <si>
    <t>BALTES</t>
  </si>
  <si>
    <t>2545 Calvin Street</t>
  </si>
  <si>
    <t>SeanCBaltes@aol.com</t>
  </si>
  <si>
    <t>443-425-0071</t>
  </si>
  <si>
    <t>22-4734</t>
  </si>
  <si>
    <t>BENJAMIN</t>
  </si>
  <si>
    <t>725 Poe Lane</t>
  </si>
  <si>
    <t>Mission</t>
  </si>
  <si>
    <t>KS</t>
  </si>
  <si>
    <t>BenjaminRCastaneda@aol.com</t>
  </si>
  <si>
    <t>913-424-4228</t>
  </si>
  <si>
    <t>20-9381</t>
  </si>
  <si>
    <t>JERRY</t>
  </si>
  <si>
    <t>MILLS</t>
  </si>
  <si>
    <t>1083 Grove Avenue</t>
  </si>
  <si>
    <t>Bessie</t>
  </si>
  <si>
    <t>JerryMMills@gmail.com</t>
  </si>
  <si>
    <t>580-373-5226</t>
  </si>
  <si>
    <t>26-523</t>
  </si>
  <si>
    <t>DOUGLAS</t>
  </si>
  <si>
    <t>WRIGHT</t>
  </si>
  <si>
    <t>210 Adams Avenue</t>
  </si>
  <si>
    <t>Upper Marlboro</t>
  </si>
  <si>
    <t>DouglasMWright@hotmail.com</t>
  </si>
  <si>
    <t>301-627-9555</t>
  </si>
  <si>
    <t>64-6416</t>
  </si>
  <si>
    <t>CHRISTOPHER</t>
  </si>
  <si>
    <t>LANE</t>
  </si>
  <si>
    <t>2191 Bloomfield Way</t>
  </si>
  <si>
    <t>Embden Lake</t>
  </si>
  <si>
    <t>ME</t>
  </si>
  <si>
    <t>ChristopherBLane@aol.com</t>
  </si>
  <si>
    <t>207-566-8114</t>
  </si>
  <si>
    <t>54-132</t>
  </si>
  <si>
    <t>MONTE</t>
  </si>
  <si>
    <t>MELLOTT</t>
  </si>
  <si>
    <t>1756 Seth Street</t>
  </si>
  <si>
    <t>London</t>
  </si>
  <si>
    <t>MonteKMellott@aol.com</t>
  </si>
  <si>
    <t>325-475-8182</t>
  </si>
  <si>
    <t>40-5240</t>
  </si>
  <si>
    <t>LEIGHANN</t>
  </si>
  <si>
    <t>MCCORKLE</t>
  </si>
  <si>
    <t>3840 Zimmerman Lane</t>
  </si>
  <si>
    <t>Santa Ana</t>
  </si>
  <si>
    <t>LeighannJMcCorkle@hotmail.com</t>
  </si>
  <si>
    <t>213-471-6747</t>
  </si>
  <si>
    <t>93-254</t>
  </si>
  <si>
    <t>LESTER</t>
  </si>
  <si>
    <t>BAER</t>
  </si>
  <si>
    <t>1239 Lang Avenue</t>
  </si>
  <si>
    <t>Logan</t>
  </si>
  <si>
    <t>LesterJBaer@aol.com</t>
  </si>
  <si>
    <t>435-757-3720</t>
  </si>
  <si>
    <t>05-9569</t>
  </si>
  <si>
    <t>SHANI</t>
  </si>
  <si>
    <t>4856 Pinnickinick Street</t>
  </si>
  <si>
    <t>Kelso</t>
  </si>
  <si>
    <t>ShaniMHamilton@hotmail.com</t>
  </si>
  <si>
    <t>360-749-8772</t>
  </si>
  <si>
    <t>60-3666</t>
  </si>
  <si>
    <t>LEROY</t>
  </si>
  <si>
    <t>CARROLL</t>
  </si>
  <si>
    <t>269 Rogers Street</t>
  </si>
  <si>
    <t>Cincinnati</t>
  </si>
  <si>
    <t>LeroyRCarroll@aol.com</t>
  </si>
  <si>
    <t>513-579-4638</t>
  </si>
  <si>
    <t>04-165</t>
  </si>
  <si>
    <t>TERESA</t>
  </si>
  <si>
    <t>BATTIN</t>
  </si>
  <si>
    <t>702 Woodhill Avenue</t>
  </si>
  <si>
    <t>TeresaABattin@aol.com</t>
  </si>
  <si>
    <t>410-820-1785</t>
  </si>
  <si>
    <t>56-541</t>
  </si>
  <si>
    <t>GREGORY</t>
  </si>
  <si>
    <t>856 Everette Alley</t>
  </si>
  <si>
    <t>Fort Lauderdale</t>
  </si>
  <si>
    <t>GregoryVMoore@gmail.com</t>
  </si>
  <si>
    <t>954-762-9105</t>
  </si>
  <si>
    <t>38-036</t>
  </si>
  <si>
    <t>FAITH</t>
  </si>
  <si>
    <t>HAGANS</t>
  </si>
  <si>
    <t>1491 Tecumsah Lane</t>
  </si>
  <si>
    <t>Waterloo</t>
  </si>
  <si>
    <t>FaithJHagans@hotmail.com</t>
  </si>
  <si>
    <t>319-236-0382</t>
  </si>
  <si>
    <t>13-511</t>
  </si>
  <si>
    <t>LOGSDON</t>
  </si>
  <si>
    <t>3225 Libby Street</t>
  </si>
  <si>
    <t>MichaelALogsdon@aol.com</t>
  </si>
  <si>
    <t>310-313-9536</t>
  </si>
  <si>
    <t>60-549</t>
  </si>
  <si>
    <t>CHAVEZ</t>
  </si>
  <si>
    <t>4494 Flinderation Road</t>
  </si>
  <si>
    <t>Arlington Heights</t>
  </si>
  <si>
    <t>AnthonyDChavez@aol.com</t>
  </si>
  <si>
    <t>708-398-9663</t>
  </si>
  <si>
    <t>09-165</t>
  </si>
  <si>
    <t>AMANDA</t>
  </si>
  <si>
    <t>MILANO</t>
  </si>
  <si>
    <t>3070 Bubby Drive</t>
  </si>
  <si>
    <t>AmandaCMilano@aol.com</t>
  </si>
  <si>
    <t>512-439-0332</t>
  </si>
  <si>
    <t>61-0157</t>
  </si>
  <si>
    <t>SHAYNA</t>
  </si>
  <si>
    <t>GERMAN</t>
  </si>
  <si>
    <t>854 Primrose Lane</t>
  </si>
  <si>
    <t>Madison</t>
  </si>
  <si>
    <t>ShaynaBGerman@aol.com</t>
  </si>
  <si>
    <t>608-646-8991</t>
  </si>
  <si>
    <t>12-993</t>
  </si>
  <si>
    <t>HANSEN</t>
  </si>
  <si>
    <t>3561 Sunburst Drive</t>
  </si>
  <si>
    <t>BarbaraRHansen@aol.com</t>
  </si>
  <si>
    <t>239-331-9668</t>
  </si>
  <si>
    <t>18-4117</t>
  </si>
  <si>
    <t>KIRBY</t>
  </si>
  <si>
    <t>4459 B Street</t>
  </si>
  <si>
    <t>KennethVKirby@hotmail.com</t>
  </si>
  <si>
    <t>651-691-3565</t>
  </si>
  <si>
    <t>62-778</t>
  </si>
  <si>
    <t>PETTIGREW</t>
  </si>
  <si>
    <t>2694 Owagner Lane</t>
  </si>
  <si>
    <t>Burien</t>
  </si>
  <si>
    <t>JamesLPettigrew@gmail.com</t>
  </si>
  <si>
    <t>206-244-9336</t>
  </si>
  <si>
    <t>39-718</t>
  </si>
  <si>
    <t>ROGER</t>
  </si>
  <si>
    <t>GREEN</t>
  </si>
  <si>
    <t>3689 Still Pastures Drive</t>
  </si>
  <si>
    <t>Holly Hill</t>
  </si>
  <si>
    <t>SC</t>
  </si>
  <si>
    <t>RogerMGreen@hotmail.com</t>
  </si>
  <si>
    <t>803-496-2792</t>
  </si>
  <si>
    <t>14-875</t>
  </si>
  <si>
    <t>ROBERTS</t>
  </si>
  <si>
    <t>87 Nuzum Court</t>
  </si>
  <si>
    <t>Angola</t>
  </si>
  <si>
    <t>JosephCRoberts@aol.com</t>
  </si>
  <si>
    <t>716-549-1195</t>
  </si>
  <si>
    <t>60-9995</t>
  </si>
  <si>
    <t>HEIDI</t>
  </si>
  <si>
    <t>SINQUEFIELD</t>
  </si>
  <si>
    <t>4929 Elk Rd Little</t>
  </si>
  <si>
    <t>Tucson</t>
  </si>
  <si>
    <t>HeidiGSinquefield@gmail.com</t>
  </si>
  <si>
    <t>520-226-6462</t>
  </si>
  <si>
    <t>03-1580</t>
  </si>
  <si>
    <t>SAM</t>
  </si>
  <si>
    <t>HUGHES</t>
  </si>
  <si>
    <t>1097 Still Pastures Drive</t>
  </si>
  <si>
    <t>Chester</t>
  </si>
  <si>
    <t>SamKHughes@gmail.com</t>
  </si>
  <si>
    <t>803-377-7264</t>
  </si>
  <si>
    <t>16-1384</t>
  </si>
  <si>
    <t>MILTON</t>
  </si>
  <si>
    <t>4245 Irving Place</t>
  </si>
  <si>
    <t>Belleville</t>
  </si>
  <si>
    <t>MiltonTBrown@aol.com</t>
  </si>
  <si>
    <t>636-323-3267</t>
  </si>
  <si>
    <t>96-502</t>
  </si>
  <si>
    <t>AUDREY</t>
  </si>
  <si>
    <t>3779 Dale Avenue</t>
  </si>
  <si>
    <t>Tacoma</t>
  </si>
  <si>
    <t>AudreyMMilton@gmail.com</t>
  </si>
  <si>
    <t>253-732-8965</t>
  </si>
  <si>
    <t>06-441</t>
  </si>
  <si>
    <t>DIANA</t>
  </si>
  <si>
    <t>HANCOCK</t>
  </si>
  <si>
    <t>1173 Mapleview Drive</t>
  </si>
  <si>
    <t>Trimble</t>
  </si>
  <si>
    <t>DianaJHancock@hotmail.com</t>
  </si>
  <si>
    <t>731-297-1255</t>
  </si>
  <si>
    <t>95-995</t>
  </si>
  <si>
    <t>CARMELLA</t>
  </si>
  <si>
    <t>MORA</t>
  </si>
  <si>
    <t>2824 Wilson Avenue</t>
  </si>
  <si>
    <t>Garland</t>
  </si>
  <si>
    <t>CarmellaCMora@aol.com</t>
  </si>
  <si>
    <t>972-485-7316</t>
  </si>
  <si>
    <t>54-199</t>
  </si>
  <si>
    <t>ALLISON</t>
  </si>
  <si>
    <t>PATTON</t>
  </si>
  <si>
    <t>1879 Pine Street</t>
  </si>
  <si>
    <t>Crafton</t>
  </si>
  <si>
    <t>AllisonIPatton@aol.com</t>
  </si>
  <si>
    <t>724-263-7131</t>
  </si>
  <si>
    <t>62-797</t>
  </si>
  <si>
    <t>THURMAN</t>
  </si>
  <si>
    <t>2396 Howard Street</t>
  </si>
  <si>
    <t>Wyoming</t>
  </si>
  <si>
    <t>RobertSThurman@aol.com</t>
  </si>
  <si>
    <t>616-510-1257</t>
  </si>
  <si>
    <t>50-485</t>
  </si>
  <si>
    <t>MEREDITH</t>
  </si>
  <si>
    <t>BAILEY</t>
  </si>
  <si>
    <t>4273 Douglas Dairy Road</t>
  </si>
  <si>
    <t>Wytheville</t>
  </si>
  <si>
    <t>MeredithJBailey@gmail.com</t>
  </si>
  <si>
    <t>276-617-4436</t>
  </si>
  <si>
    <t>01-678</t>
  </si>
  <si>
    <t>MARIA</t>
  </si>
  <si>
    <t>NEAL</t>
  </si>
  <si>
    <t>4040 McDonald Avenue</t>
  </si>
  <si>
    <t>Longwood</t>
  </si>
  <si>
    <t>MariaFNeal@hotmail.com</t>
  </si>
  <si>
    <t>407-832-6664</t>
  </si>
  <si>
    <t>12-814</t>
  </si>
  <si>
    <t>PABLO</t>
  </si>
  <si>
    <t>BREEDLOVE</t>
  </si>
  <si>
    <t>2246 Leroy Lane</t>
  </si>
  <si>
    <t>Watertown</t>
  </si>
  <si>
    <t>PabloJBreedlove@hotmail.com</t>
  </si>
  <si>
    <t>605-882-7735</t>
  </si>
  <si>
    <t>74-7337</t>
  </si>
  <si>
    <t>4286 Timbercrest Road</t>
  </si>
  <si>
    <t>Chugiak</t>
  </si>
  <si>
    <t>MelissaJFlores@aol.com</t>
  </si>
  <si>
    <t>907-688-3323</t>
  </si>
  <si>
    <t>46-6406</t>
  </si>
  <si>
    <t>NELSON</t>
  </si>
  <si>
    <t>3206 University Hill Road</t>
  </si>
  <si>
    <t>Mattoon</t>
  </si>
  <si>
    <t>RobertBNelson@hotmail.com</t>
  </si>
  <si>
    <t>217-603-5699</t>
  </si>
  <si>
    <t>36-5491</t>
  </si>
  <si>
    <t>2264 Tyler Avenue</t>
  </si>
  <si>
    <t>JerrySTorres@aol.com</t>
  </si>
  <si>
    <t>305-336-9391</t>
  </si>
  <si>
    <t>89-1017</t>
  </si>
  <si>
    <t>THEDA</t>
  </si>
  <si>
    <t>MATHIS</t>
  </si>
  <si>
    <t>4689 Cityview Drive</t>
  </si>
  <si>
    <t>Eagleville</t>
  </si>
  <si>
    <t>ThedaNMathis@hotmail.com</t>
  </si>
  <si>
    <t>610-476-5230</t>
  </si>
  <si>
    <t>34-169</t>
  </si>
  <si>
    <t>LESLIE</t>
  </si>
  <si>
    <t>FOGLE</t>
  </si>
  <si>
    <t>2406 Arron Smith Drive</t>
  </si>
  <si>
    <t>Honolulu</t>
  </si>
  <si>
    <t>HI</t>
  </si>
  <si>
    <t>LeslieJFogle@hotmail.com</t>
  </si>
  <si>
    <t>808-467-6020</t>
  </si>
  <si>
    <t>03-991</t>
  </si>
  <si>
    <t>BEATRICE</t>
  </si>
  <si>
    <t>SANCHEZ</t>
  </si>
  <si>
    <t>3708 Rafe Lane</t>
  </si>
  <si>
    <t>Tupelo</t>
  </si>
  <si>
    <t>BeatriceKSanchez@hotmail.com</t>
  </si>
  <si>
    <t>662-691-0811</t>
  </si>
  <si>
    <t>03-7749</t>
  </si>
  <si>
    <t>HARTLEY</t>
  </si>
  <si>
    <t>3582 Echo Lane</t>
  </si>
  <si>
    <t>Grand Rapids</t>
  </si>
  <si>
    <t>JamesRHartley@gmail.com</t>
  </si>
  <si>
    <t>269-815-1770</t>
  </si>
  <si>
    <t>15-0729</t>
  </si>
  <si>
    <t>SCOTT</t>
  </si>
  <si>
    <t>BULL</t>
  </si>
  <si>
    <t>666 Berkley Street</t>
  </si>
  <si>
    <t>Collegeville</t>
  </si>
  <si>
    <t>ScottWBull@aol.com</t>
  </si>
  <si>
    <t>484-902-6607</t>
  </si>
  <si>
    <t>80-0419</t>
  </si>
  <si>
    <t>GABRIELA</t>
  </si>
  <si>
    <t>JACKSON</t>
  </si>
  <si>
    <t>4588 Pallet Street</t>
  </si>
  <si>
    <t>New York</t>
  </si>
  <si>
    <t>GabrielaBJackson@aol.com</t>
  </si>
  <si>
    <t>914-315-5689</t>
  </si>
  <si>
    <t>05-187</t>
  </si>
  <si>
    <t>AGNES</t>
  </si>
  <si>
    <t>SCHMIDT</t>
  </si>
  <si>
    <t>876 Logan Lane</t>
  </si>
  <si>
    <t>AgnesMSchmidt@aol.com</t>
  </si>
  <si>
    <t>303-285-1449</t>
  </si>
  <si>
    <t>04-2522</t>
  </si>
  <si>
    <t>TROY</t>
  </si>
  <si>
    <t>CASTELLANOS</t>
  </si>
  <si>
    <t>4622 Hillhaven Drive</t>
  </si>
  <si>
    <t>Long Beach</t>
  </si>
  <si>
    <t>TroyJCastellanos@gmail.com</t>
  </si>
  <si>
    <t>323-904-6802</t>
  </si>
  <si>
    <t>11-3510</t>
  </si>
  <si>
    <t>CONCETTA</t>
  </si>
  <si>
    <t>WOODRUFF</t>
  </si>
  <si>
    <t>4968 Fairmont Avenue</t>
  </si>
  <si>
    <t>Lexington</t>
  </si>
  <si>
    <t>ConcettaBWoodruff@aol.com</t>
  </si>
  <si>
    <t>660-259-4549</t>
  </si>
  <si>
    <t>40-9485</t>
  </si>
  <si>
    <t>TRACY</t>
  </si>
  <si>
    <t>BERRY</t>
  </si>
  <si>
    <t>1078 Spring Avenue</t>
  </si>
  <si>
    <t>TracyRBerry@hotmail.com</t>
  </si>
  <si>
    <t>267-715-9830</t>
  </si>
  <si>
    <t>16-381</t>
  </si>
  <si>
    <t>TABER</t>
  </si>
  <si>
    <t>3787 Pin Oak Drive</t>
  </si>
  <si>
    <t>Guttenberg</t>
  </si>
  <si>
    <t>DavidHTaber@hotmail.com</t>
  </si>
  <si>
    <t>563-252-9377</t>
  </si>
  <si>
    <t>21-4591</t>
  </si>
  <si>
    <t>ANITA</t>
  </si>
  <si>
    <t>SACHS</t>
  </si>
  <si>
    <t>677 Brighton Circle Road</t>
  </si>
  <si>
    <t>Hutchinson</t>
  </si>
  <si>
    <t>AnitaJSachs@hotmail.com</t>
  </si>
  <si>
    <t>320-552-4063</t>
  </si>
  <si>
    <t>76-479</t>
  </si>
  <si>
    <t>XAVIER</t>
  </si>
  <si>
    <t>1993 Lucy Lane</t>
  </si>
  <si>
    <t>Butlerville</t>
  </si>
  <si>
    <t>XavierMBrown@hotmail.com</t>
  </si>
  <si>
    <t>812-458-6289</t>
  </si>
  <si>
    <t>26-9281</t>
  </si>
  <si>
    <t>KATHY</t>
  </si>
  <si>
    <t>HUTTO</t>
  </si>
  <si>
    <t>4029 Everette Alley</t>
  </si>
  <si>
    <t>Miami</t>
  </si>
  <si>
    <t>KathyRHutto@aol.com</t>
  </si>
  <si>
    <t>954-738-6457</t>
  </si>
  <si>
    <t>74-265</t>
  </si>
  <si>
    <t>EVELYNE</t>
  </si>
  <si>
    <t>4459 McKinley Avenue</t>
  </si>
  <si>
    <t>EvelyneEWilliams@aol.com</t>
  </si>
  <si>
    <t>303-765-8535</t>
  </si>
  <si>
    <t>38-704</t>
  </si>
  <si>
    <t>WALTERS</t>
  </si>
  <si>
    <t>3762 Abner Road</t>
  </si>
  <si>
    <t>Stratford</t>
  </si>
  <si>
    <t>DavidMWalters@aol.com</t>
  </si>
  <si>
    <t>715-391-1204</t>
  </si>
  <si>
    <t>28-400</t>
  </si>
  <si>
    <t>ROSEMARY</t>
  </si>
  <si>
    <t>QUINN</t>
  </si>
  <si>
    <t>4743 Felosa Drive</t>
  </si>
  <si>
    <t>Santa Fe Springs</t>
  </si>
  <si>
    <t>RosemaryJQuinn@gmail.com</t>
  </si>
  <si>
    <t>323-972-5350</t>
  </si>
  <si>
    <t>10-2225</t>
  </si>
  <si>
    <t>LUPE</t>
  </si>
  <si>
    <t>HEATH</t>
  </si>
  <si>
    <t>4758 Cunningham Court</t>
  </si>
  <si>
    <t>Westland</t>
  </si>
  <si>
    <t>LupeKHeath@hotmail.com</t>
  </si>
  <si>
    <t>248-670-1284</t>
  </si>
  <si>
    <t>10-822</t>
  </si>
  <si>
    <t>DANIELLE</t>
  </si>
  <si>
    <t>PALMER</t>
  </si>
  <si>
    <t>398 Valley Drive</t>
  </si>
  <si>
    <t>Plymouth Meeting</t>
  </si>
  <si>
    <t>DanielleTPalmer@hotmail.com</t>
  </si>
  <si>
    <t>267-374-3082</t>
  </si>
  <si>
    <t>74-5648</t>
  </si>
  <si>
    <t>WHITAKER</t>
  </si>
  <si>
    <t>673 Hall Valley Drive</t>
  </si>
  <si>
    <t>Sophia</t>
  </si>
  <si>
    <t>LesliePWhitaker@hotmail.com</t>
  </si>
  <si>
    <t>304-683-1108</t>
  </si>
  <si>
    <t>32-570</t>
  </si>
  <si>
    <t>TERRANCE</t>
  </si>
  <si>
    <t>1346 Pinewood Drive</t>
  </si>
  <si>
    <t>Wheeling</t>
  </si>
  <si>
    <t>TerranceVJohnson@hotmail.com</t>
  </si>
  <si>
    <t>847-861-0967</t>
  </si>
  <si>
    <t>03-753</t>
  </si>
  <si>
    <t>JESSE</t>
  </si>
  <si>
    <t>CATLIN</t>
  </si>
  <si>
    <t>1291 Pheasant Ridge Road</t>
  </si>
  <si>
    <t>JesseJCatlin@aol.com</t>
  </si>
  <si>
    <t>215-525-3830</t>
  </si>
  <si>
    <t>28-6361</t>
  </si>
  <si>
    <t>KINSLEY</t>
  </si>
  <si>
    <t>4699 Alexander Drive</t>
  </si>
  <si>
    <t>Byers</t>
  </si>
  <si>
    <t>MariaAKinsley@gmail.com</t>
  </si>
  <si>
    <t>940-529-0323</t>
  </si>
  <si>
    <t>46-660</t>
  </si>
  <si>
    <t>WILLIAM</t>
  </si>
  <si>
    <t>POTTS</t>
  </si>
  <si>
    <t>511 Fleming Way</t>
  </si>
  <si>
    <t>Richmond</t>
  </si>
  <si>
    <t>WilliamBPotts@gmail.com</t>
  </si>
  <si>
    <t>804-724-5205</t>
  </si>
  <si>
    <t>03-3726</t>
  </si>
  <si>
    <t>MAGNUSSON</t>
  </si>
  <si>
    <t>1592 Euclid Avenue</t>
  </si>
  <si>
    <t>Los Alamos</t>
  </si>
  <si>
    <t>DanielleHMagnusson@aol.com</t>
  </si>
  <si>
    <t>805-344-2705</t>
  </si>
  <si>
    <t>21-7249</t>
  </si>
  <si>
    <t>WOODY</t>
  </si>
  <si>
    <t>2927 Saint James Drive</t>
  </si>
  <si>
    <t>Dillsburg</t>
  </si>
  <si>
    <t>HeidiRWoody@aol.com</t>
  </si>
  <si>
    <t>717-502-2596</t>
  </si>
  <si>
    <t>74-389</t>
  </si>
  <si>
    <t>REYNOLDS</t>
  </si>
  <si>
    <t>342 Heritage Road</t>
  </si>
  <si>
    <t>Fresno</t>
  </si>
  <si>
    <t>GeorgeAReynolds@hotmail.com</t>
  </si>
  <si>
    <t>559-750-6863</t>
  </si>
  <si>
    <t>40-2623</t>
  </si>
  <si>
    <t>MARLIN</t>
  </si>
  <si>
    <t>CAMBRIDGE</t>
  </si>
  <si>
    <t>4128 Still Street</t>
  </si>
  <si>
    <t>Oregon</t>
  </si>
  <si>
    <t>MarlinFCambridge@gmail.com</t>
  </si>
  <si>
    <t>419-696-7169</t>
  </si>
  <si>
    <t>24-2193</t>
  </si>
  <si>
    <t>LUCY</t>
  </si>
  <si>
    <t>MURRAY</t>
  </si>
  <si>
    <t>4983 Clay Lick Road</t>
  </si>
  <si>
    <t>LucyWMurray@hotmail.com</t>
  </si>
  <si>
    <t>720-530-1785</t>
  </si>
  <si>
    <t>93-527</t>
  </si>
  <si>
    <t>NUMBERS</t>
  </si>
  <si>
    <t>1046 Saints Alley</t>
  </si>
  <si>
    <t>Tampa</t>
  </si>
  <si>
    <t>MarkMNumbers@hotmail.com</t>
  </si>
  <si>
    <t>813-774-9998</t>
  </si>
  <si>
    <t>24-156</t>
  </si>
  <si>
    <t>GROVER</t>
  </si>
  <si>
    <t>MANNING</t>
  </si>
  <si>
    <t>2958 Harron Drive</t>
  </si>
  <si>
    <t>GroverLManning@gmail.com</t>
  </si>
  <si>
    <t>443-441-3108</t>
  </si>
  <si>
    <t>03-0868</t>
  </si>
  <si>
    <t>SIMMONS</t>
  </si>
  <si>
    <t>1074 Quiet Valley Lane</t>
  </si>
  <si>
    <t>Calabasas</t>
  </si>
  <si>
    <t>PatriciaASimmons@hotmail.com</t>
  </si>
  <si>
    <t>818-871-5647</t>
  </si>
  <si>
    <t>27-081</t>
  </si>
  <si>
    <t>VIVIAN</t>
  </si>
  <si>
    <t>ROSARIO</t>
  </si>
  <si>
    <t>3892 Lunetta Street</t>
  </si>
  <si>
    <t>Port Charlotte</t>
  </si>
  <si>
    <t>VivianJRosario@hotmail.com</t>
  </si>
  <si>
    <t>941-235-5999</t>
  </si>
  <si>
    <t>10-618</t>
  </si>
  <si>
    <t>FOLTZ</t>
  </si>
  <si>
    <t>4096 Diamond Cove</t>
  </si>
  <si>
    <t>MaryMFoltz@gmail.com</t>
  </si>
  <si>
    <t>401-350-1932</t>
  </si>
  <si>
    <t>14-318</t>
  </si>
  <si>
    <t>MARTIN</t>
  </si>
  <si>
    <t>SCHAAL</t>
  </si>
  <si>
    <t>2501 Libby Street</t>
  </si>
  <si>
    <t>Santa Monica</t>
  </si>
  <si>
    <t>MartinTSchaal@hotmail.com</t>
  </si>
  <si>
    <t>310-267-5199</t>
  </si>
  <si>
    <t>90-1277</t>
  </si>
  <si>
    <t>KILE</t>
  </si>
  <si>
    <t>3832 Selah Way</t>
  </si>
  <si>
    <t>East Fairfield</t>
  </si>
  <si>
    <t>JohnCKile@hotmail.com</t>
  </si>
  <si>
    <t>802-664-2037</t>
  </si>
  <si>
    <t>20-6645</t>
  </si>
  <si>
    <t>JOAN</t>
  </si>
  <si>
    <t>WILLINGHAM</t>
  </si>
  <si>
    <t>4558 Richison Drive</t>
  </si>
  <si>
    <t>Kalispell</t>
  </si>
  <si>
    <t>MT</t>
  </si>
  <si>
    <t>JoanJWillingham@hotmail.com</t>
  </si>
  <si>
    <t>406-257-3839</t>
  </si>
  <si>
    <t>94-6503</t>
  </si>
  <si>
    <t>LONG</t>
  </si>
  <si>
    <t>2975 Sun Valley Road</t>
  </si>
  <si>
    <t>Granger</t>
  </si>
  <si>
    <t>BarbaraLLong@hotmail.com</t>
  </si>
  <si>
    <t>509-854-4493</t>
  </si>
  <si>
    <t>31-9542</t>
  </si>
  <si>
    <t>STUART</t>
  </si>
  <si>
    <t>485 Hog Camp Road</t>
  </si>
  <si>
    <t>DavidNStuart@hotmail.com</t>
  </si>
  <si>
    <t>708-525-4749</t>
  </si>
  <si>
    <t>05-1085</t>
  </si>
  <si>
    <t>EASLEY</t>
  </si>
  <si>
    <t>2669 Diane Street</t>
  </si>
  <si>
    <t>Thousand Oaks</t>
  </si>
  <si>
    <t>RonaldAEasley@aol.com</t>
  </si>
  <si>
    <t>805-373-3889</t>
  </si>
  <si>
    <t>21-051</t>
  </si>
  <si>
    <t>SHARON</t>
  </si>
  <si>
    <t>GRAHAM</t>
  </si>
  <si>
    <t>1017 Redbud Drive</t>
  </si>
  <si>
    <t>SharonRGraham@aol.com</t>
  </si>
  <si>
    <t>347-697-5792</t>
  </si>
  <si>
    <t>34-2125</t>
  </si>
  <si>
    <t>DARRYL</t>
  </si>
  <si>
    <t>RAMIREZ</t>
  </si>
  <si>
    <t>2860 Midway Road</t>
  </si>
  <si>
    <t>Fort Smith</t>
  </si>
  <si>
    <t>AR</t>
  </si>
  <si>
    <t>DarrylERamirez@aol.com</t>
  </si>
  <si>
    <t>479-466-7147</t>
  </si>
  <si>
    <t>12-056</t>
  </si>
  <si>
    <t>ANNE</t>
  </si>
  <si>
    <t>ZAMORA</t>
  </si>
  <si>
    <t>2415 Willison Street</t>
  </si>
  <si>
    <t>AnneDZamora@gmail.com</t>
  </si>
  <si>
    <t>763-232-7639</t>
  </si>
  <si>
    <t>04-307</t>
  </si>
  <si>
    <t>ISAIAH</t>
  </si>
  <si>
    <t>BUCKNER</t>
  </si>
  <si>
    <t>1812 Armbrester Drive</t>
  </si>
  <si>
    <t>IsaiahLBuckner@gmail.com</t>
  </si>
  <si>
    <t>310-458-2929</t>
  </si>
  <si>
    <t>58-4498</t>
  </si>
  <si>
    <t>ANGIE</t>
  </si>
  <si>
    <t>GLASSMAN</t>
  </si>
  <si>
    <t>4886 Edwards Street</t>
  </si>
  <si>
    <t>New Bern</t>
  </si>
  <si>
    <t>AngieCGlassman@hotmail.com</t>
  </si>
  <si>
    <t>252-636-3151</t>
  </si>
  <si>
    <t>67-4735</t>
  </si>
  <si>
    <t>STEPHEN</t>
  </si>
  <si>
    <t>BERNIER</t>
  </si>
  <si>
    <t>547 Saints Alley</t>
  </si>
  <si>
    <t>Plant City</t>
  </si>
  <si>
    <t>StephenDBernier@hotmail.com</t>
  </si>
  <si>
    <t>813-545-6399</t>
  </si>
  <si>
    <t>46-331</t>
  </si>
  <si>
    <t>DOROTHY</t>
  </si>
  <si>
    <t>RANSOM</t>
  </si>
  <si>
    <t>2933 Argonne Street</t>
  </si>
  <si>
    <t>New Castle</t>
  </si>
  <si>
    <t>DE</t>
  </si>
  <si>
    <t>DorothyGRansom@aol.com</t>
  </si>
  <si>
    <t>302-328-5806</t>
  </si>
  <si>
    <t>84-695</t>
  </si>
  <si>
    <t>GENEVIEVE</t>
  </si>
  <si>
    <t>TARANTO</t>
  </si>
  <si>
    <t>4477 Marshall Street</t>
  </si>
  <si>
    <t>Berlin</t>
  </si>
  <si>
    <t>GenevieveWTaranto@gmail.com</t>
  </si>
  <si>
    <t>410-629-0583</t>
  </si>
  <si>
    <t>23-168</t>
  </si>
  <si>
    <t>KINNER</t>
  </si>
  <si>
    <t>518 Midway Road</t>
  </si>
  <si>
    <t>EdwardEKinner@aol.com</t>
  </si>
  <si>
    <t>479-461-1718</t>
  </si>
  <si>
    <t>09-098</t>
  </si>
  <si>
    <t>FIGUEROA</t>
  </si>
  <si>
    <t>4050 Perine Street</t>
  </si>
  <si>
    <t>Mclean</t>
  </si>
  <si>
    <t>DianeJFigueroa@aol.com</t>
  </si>
  <si>
    <t>703-762-0541</t>
  </si>
  <si>
    <t>94-840</t>
  </si>
  <si>
    <t>PHYLLIS</t>
  </si>
  <si>
    <t>2236 Massachusetts Avenue</t>
  </si>
  <si>
    <t>Washington</t>
  </si>
  <si>
    <t>DC</t>
  </si>
  <si>
    <t>PhyllisCBrown@hotmail.com</t>
  </si>
  <si>
    <t>202-686-6356</t>
  </si>
  <si>
    <t>96-8910</t>
  </si>
  <si>
    <t>TODD</t>
  </si>
  <si>
    <t>HOOKER</t>
  </si>
  <si>
    <t>3164 Collins Avenue</t>
  </si>
  <si>
    <t>ToddLHooker@gmail.com</t>
  </si>
  <si>
    <t>614-782-6925</t>
  </si>
  <si>
    <t>90-7779</t>
  </si>
  <si>
    <t>RHEA</t>
  </si>
  <si>
    <t>DICK</t>
  </si>
  <si>
    <t>3813 Prudence Street</t>
  </si>
  <si>
    <t>Southfield</t>
  </si>
  <si>
    <t>RheaTDick@hotmail.com</t>
  </si>
  <si>
    <t>313-321-8117</t>
  </si>
  <si>
    <t>28-105</t>
  </si>
  <si>
    <t>PAYNE</t>
  </si>
  <si>
    <t>3200 Melody Lane</t>
  </si>
  <si>
    <t>Glen Allen</t>
  </si>
  <si>
    <t>TeresaTPayne@aol.com</t>
  </si>
  <si>
    <t>804-349-2459</t>
  </si>
  <si>
    <t>03-061</t>
  </si>
  <si>
    <t>SHAWN</t>
  </si>
  <si>
    <t>SOLOMON</t>
  </si>
  <si>
    <t>258 Confederate Drive</t>
  </si>
  <si>
    <t>New Woodstock</t>
  </si>
  <si>
    <t>ShawnMSolomon@gmail.com</t>
  </si>
  <si>
    <t>315-662-5924</t>
  </si>
  <si>
    <t>03-546</t>
  </si>
  <si>
    <t>LEONARD</t>
  </si>
  <si>
    <t>CONNOLLY</t>
  </si>
  <si>
    <t>1601 Quincy Street</t>
  </si>
  <si>
    <t>Warminster</t>
  </si>
  <si>
    <t>LeonardVConnolly@gmail.com</t>
  </si>
  <si>
    <t>267-497-5517</t>
  </si>
  <si>
    <t>28-7118</t>
  </si>
  <si>
    <t>BEULAH</t>
  </si>
  <si>
    <t>GARNETT</t>
  </si>
  <si>
    <t>3843 Musgrave Street</t>
  </si>
  <si>
    <t>Oklahoma City</t>
  </si>
  <si>
    <t>BeulahMGarnett@gmail.com</t>
  </si>
  <si>
    <t>405-232-5203</t>
  </si>
  <si>
    <t>96-6160</t>
  </si>
  <si>
    <t>YELLE</t>
  </si>
  <si>
    <t>3303 Woodridge Lane</t>
  </si>
  <si>
    <t>Memphis</t>
  </si>
  <si>
    <t>GeneTYelle@gmail.com</t>
  </si>
  <si>
    <t>901-312-4432</t>
  </si>
  <si>
    <t>31-537</t>
  </si>
  <si>
    <t>AKERS</t>
  </si>
  <si>
    <t>4823 Simpson Square</t>
  </si>
  <si>
    <t>Guymon</t>
  </si>
  <si>
    <t>ShannonGAkers@hotmail.com</t>
  </si>
  <si>
    <t>580-643-5025</t>
  </si>
  <si>
    <t>22-8780</t>
  </si>
  <si>
    <t>MCCUE</t>
  </si>
  <si>
    <t>844 Argonne Street</t>
  </si>
  <si>
    <t>JamesDMcCue@aol.com</t>
  </si>
  <si>
    <t>302-323-7123</t>
  </si>
  <si>
    <t>01-111</t>
  </si>
  <si>
    <t>FERNANDO</t>
  </si>
  <si>
    <t>WEST</t>
  </si>
  <si>
    <t>3195 Davis Avenue</t>
  </si>
  <si>
    <t>Oakland</t>
  </si>
  <si>
    <t>FernandoJWest@hotmail.com</t>
  </si>
  <si>
    <t>707-710-1679</t>
  </si>
  <si>
    <t>26-9448</t>
  </si>
  <si>
    <t>DELLA</t>
  </si>
  <si>
    <t>QUILLEN</t>
  </si>
  <si>
    <t>10 Pursglove Court</t>
  </si>
  <si>
    <t>Dayton</t>
  </si>
  <si>
    <t>DellaJQuillen@hotmail.com</t>
  </si>
  <si>
    <t>937-334-4086</t>
  </si>
  <si>
    <t>02-939</t>
  </si>
  <si>
    <t>DILLON</t>
  </si>
  <si>
    <t>2622 Rhode Island Avenue</t>
  </si>
  <si>
    <t>DillonPWilliams@aol.com</t>
  </si>
  <si>
    <t>202-383-0909</t>
  </si>
  <si>
    <t>80-263</t>
  </si>
  <si>
    <t>PAUL</t>
  </si>
  <si>
    <t>4339 Michigan Avenue</t>
  </si>
  <si>
    <t>Claysville</t>
  </si>
  <si>
    <t>PaulSJohnson@hotmail.com</t>
  </si>
  <si>
    <t>724-663-1197</t>
  </si>
  <si>
    <t>03-8287</t>
  </si>
  <si>
    <t>NICHOLAS</t>
  </si>
  <si>
    <t>STICE</t>
  </si>
  <si>
    <t>2973 Mulberry Lane</t>
  </si>
  <si>
    <t>West Palm Beach</t>
  </si>
  <si>
    <t>NicholasJStice@aol.com</t>
  </si>
  <si>
    <t>561-751-6293</t>
  </si>
  <si>
    <t>22-952</t>
  </si>
  <si>
    <t>DANNY</t>
  </si>
  <si>
    <t>QUESADA</t>
  </si>
  <si>
    <t>2249 Elliot Avenue</t>
  </si>
  <si>
    <t>Seattle</t>
  </si>
  <si>
    <t>DannyMQuesada@hotmail.com</t>
  </si>
  <si>
    <t>206-632-7520</t>
  </si>
  <si>
    <t>45-1137</t>
  </si>
  <si>
    <t>3033 Hickory Ridge Drive</t>
  </si>
  <si>
    <t>Las Vegas</t>
  </si>
  <si>
    <t>NV</t>
  </si>
  <si>
    <t>PatrickCJohnson@gmail.com</t>
  </si>
  <si>
    <t>702-646-7948</t>
  </si>
  <si>
    <t>34-2493</t>
  </si>
  <si>
    <t>WHITE</t>
  </si>
  <si>
    <t>4305 Parkview Drive</t>
  </si>
  <si>
    <t>Anaheim</t>
  </si>
  <si>
    <t>ChristopherJWhite@gmail.com</t>
  </si>
  <si>
    <t>714-227-7227</t>
  </si>
  <si>
    <t>17-5058</t>
  </si>
  <si>
    <t>WASHINGTON</t>
  </si>
  <si>
    <t>1523 Melrose Street</t>
  </si>
  <si>
    <t>Ellensburg</t>
  </si>
  <si>
    <t>JamesKWashington@gmail.com</t>
  </si>
  <si>
    <t>509-929-2283</t>
  </si>
  <si>
    <t>11-972</t>
  </si>
  <si>
    <t>PIERCE</t>
  </si>
  <si>
    <t>509 Coburn Hollow Road</t>
  </si>
  <si>
    <t>Minier</t>
  </si>
  <si>
    <t>ChristineTPierce@gmail.com</t>
  </si>
  <si>
    <t>309-392-0556</t>
  </si>
  <si>
    <t>32-1065</t>
  </si>
  <si>
    <t>MARIE</t>
  </si>
  <si>
    <t>240 Locust Street</t>
  </si>
  <si>
    <t>Thomasville</t>
  </si>
  <si>
    <t>MarieDWilliams@gmail.com</t>
  </si>
  <si>
    <t>229-672-6963</t>
  </si>
  <si>
    <t>07-7201</t>
  </si>
  <si>
    <t>4591 Hurry Street</t>
  </si>
  <si>
    <t>Roanoke</t>
  </si>
  <si>
    <t>SharonAHamilton@aol.com</t>
  </si>
  <si>
    <t>540-344-8487</t>
  </si>
  <si>
    <t>54-828</t>
  </si>
  <si>
    <t>LANDON</t>
  </si>
  <si>
    <t>BRYAN</t>
  </si>
  <si>
    <t>1069 Mount Tabor</t>
  </si>
  <si>
    <t>Westbury</t>
  </si>
  <si>
    <t>LandonSBryan@aol.com</t>
  </si>
  <si>
    <t>914-573-4676</t>
  </si>
  <si>
    <t>86-6711</t>
  </si>
  <si>
    <t>GARRISON</t>
  </si>
  <si>
    <t>4372 Neville Street</t>
  </si>
  <si>
    <t>Bloomington</t>
  </si>
  <si>
    <t>MarkPGarrison@gmail.com</t>
  </si>
  <si>
    <t>812-581-1981</t>
  </si>
  <si>
    <t>86-477</t>
  </si>
  <si>
    <t>JEREMY</t>
  </si>
  <si>
    <t>3597 Creekside Lane</t>
  </si>
  <si>
    <t>San Luis Obispo</t>
  </si>
  <si>
    <t>JeremyAWhitaker@aol.com</t>
  </si>
  <si>
    <t>805-710-2361</t>
  </si>
  <si>
    <t>92-5370</t>
  </si>
  <si>
    <t>MATTHEW</t>
  </si>
  <si>
    <t>DUPRE</t>
  </si>
  <si>
    <t>2943 Stiles Street</t>
  </si>
  <si>
    <t>Bridgeville</t>
  </si>
  <si>
    <t>MatthewMDupre@gmail.com</t>
  </si>
  <si>
    <t>412-585-3743</t>
  </si>
  <si>
    <t>78-1993</t>
  </si>
  <si>
    <t>CARLSON</t>
  </si>
  <si>
    <t>4434 Pinewood Avenue</t>
  </si>
  <si>
    <t>Marquette</t>
  </si>
  <si>
    <t>StephenLCarlson@hotmail.com</t>
  </si>
  <si>
    <t>906-731-6381</t>
  </si>
  <si>
    <t>44-199</t>
  </si>
  <si>
    <t>BIVONA</t>
  </si>
  <si>
    <t>198 Spadafore Drive</t>
  </si>
  <si>
    <t>Tionesta</t>
  </si>
  <si>
    <t>RichardNBivona@gmail.com</t>
  </si>
  <si>
    <t>814-755-0549</t>
  </si>
  <si>
    <t>38-096</t>
  </si>
  <si>
    <t>THERESA</t>
  </si>
  <si>
    <t>WYNN</t>
  </si>
  <si>
    <t>227 Brown Avenue</t>
  </si>
  <si>
    <t>TheresaGWynn@gmail.com</t>
  </si>
  <si>
    <t>865-245-1971</t>
  </si>
  <si>
    <t>73-032</t>
  </si>
  <si>
    <t>SCHELL</t>
  </si>
  <si>
    <t>3950 Sarah Drive</t>
  </si>
  <si>
    <t>Lake Charles</t>
  </si>
  <si>
    <t>GeorgeWSchell@aol.com</t>
  </si>
  <si>
    <t>337-474-8383</t>
  </si>
  <si>
    <t>03-4976</t>
  </si>
  <si>
    <t>DENISE</t>
  </si>
  <si>
    <t>3938 Maxwell Street</t>
  </si>
  <si>
    <t>Stamford</t>
  </si>
  <si>
    <t>CT</t>
  </si>
  <si>
    <t>DeniseDBrown@hotmail.com</t>
  </si>
  <si>
    <t>860-760-6015</t>
  </si>
  <si>
    <t>48-356</t>
  </si>
  <si>
    <t>PHILIP</t>
  </si>
  <si>
    <t>PHILLIPS</t>
  </si>
  <si>
    <t>3414 Fowler Avenue</t>
  </si>
  <si>
    <t>Norcross</t>
  </si>
  <si>
    <t>PhilipGPhillips@aol.com</t>
  </si>
  <si>
    <t>770-245-3087</t>
  </si>
  <si>
    <t>22-981</t>
  </si>
  <si>
    <t>PENDLETON</t>
  </si>
  <si>
    <t>2126 Petunia Way</t>
  </si>
  <si>
    <t>DavidDPendleton@gmail.com</t>
  </si>
  <si>
    <t>205-889-7735</t>
  </si>
  <si>
    <t>45-577</t>
  </si>
  <si>
    <t>1178 Elkview Drive</t>
  </si>
  <si>
    <t>Hialeah</t>
  </si>
  <si>
    <t>ShannonJGreen@aol.com</t>
  </si>
  <si>
    <t>772-268-6487</t>
  </si>
  <si>
    <t>58-025</t>
  </si>
  <si>
    <t>DAVE</t>
  </si>
  <si>
    <t>SPEARS</t>
  </si>
  <si>
    <t>2832 Doctors Drive</t>
  </si>
  <si>
    <t>DaveBSpears@aol.com</t>
  </si>
  <si>
    <t>310-401-9353</t>
  </si>
  <si>
    <t>18-5253</t>
  </si>
  <si>
    <t>TURNER</t>
  </si>
  <si>
    <t>2504 Grant View Drive</t>
  </si>
  <si>
    <t>Milwaukee</t>
  </si>
  <si>
    <t>DavidJTurner@gmail.com</t>
  </si>
  <si>
    <t>414-377-6047</t>
  </si>
  <si>
    <t>19-5312</t>
  </si>
  <si>
    <t>DWYER</t>
  </si>
  <si>
    <t>1562 Twin Willow Lane</t>
  </si>
  <si>
    <t>DanielHDwyer@aol.com</t>
  </si>
  <si>
    <t>910-412-9036</t>
  </si>
  <si>
    <t>01-4116</t>
  </si>
  <si>
    <t>DARLENE</t>
  </si>
  <si>
    <t>WARD</t>
  </si>
  <si>
    <t>4525 Rardin Drive</t>
  </si>
  <si>
    <t>DarleneDWard@aol.com</t>
  </si>
  <si>
    <t>650-696-0121</t>
  </si>
  <si>
    <t>70-4380</t>
  </si>
  <si>
    <t>WALTER</t>
  </si>
  <si>
    <t>GAVIN</t>
  </si>
  <si>
    <t>4463 Garrett Street</t>
  </si>
  <si>
    <t>WalterRGavin@aol.com</t>
  </si>
  <si>
    <t>269-268-1166</t>
  </si>
  <si>
    <t>70-0813</t>
  </si>
  <si>
    <t>GLASPIE</t>
  </si>
  <si>
    <t>3123 Diamond Cove</t>
  </si>
  <si>
    <t>MaryDGlaspie@gmail.com</t>
  </si>
  <si>
    <t>401-313-0452</t>
  </si>
  <si>
    <t>22-1846</t>
  </si>
  <si>
    <t>FRANK</t>
  </si>
  <si>
    <t>SANTOS</t>
  </si>
  <si>
    <t>3255 Snowbird Lane</t>
  </si>
  <si>
    <t>Barneston</t>
  </si>
  <si>
    <t>FrankJSantos@aol.com</t>
  </si>
  <si>
    <t>402-674-6125</t>
  </si>
  <si>
    <t>64-488</t>
  </si>
  <si>
    <t>ARIAS</t>
  </si>
  <si>
    <t>3502 Joyce Street</t>
  </si>
  <si>
    <t>Frankville</t>
  </si>
  <si>
    <t>KevinSArias@gmail.com</t>
  </si>
  <si>
    <t>251-754-8822</t>
  </si>
  <si>
    <t>40-4216</t>
  </si>
  <si>
    <t>FOSTER</t>
  </si>
  <si>
    <t>2429 School Street</t>
  </si>
  <si>
    <t>JamesKFoster@hotmail.com</t>
  </si>
  <si>
    <t>202-889-1944</t>
  </si>
  <si>
    <t>66-3551</t>
  </si>
  <si>
    <t>RANDY</t>
  </si>
  <si>
    <t>1252 Boggess Street</t>
  </si>
  <si>
    <t>Wichita Falls</t>
  </si>
  <si>
    <t>RandyNHarrison@aol.com</t>
  </si>
  <si>
    <t>940-228-9302</t>
  </si>
  <si>
    <t>12-111</t>
  </si>
  <si>
    <t>GRAY</t>
  </si>
  <si>
    <t>1172 Pooh Bear Lane</t>
  </si>
  <si>
    <t>Greenwood</t>
  </si>
  <si>
    <t>BarbaraRGray@gmail.com</t>
  </si>
  <si>
    <t>864-725-0784</t>
  </si>
  <si>
    <t>01-5864</t>
  </si>
  <si>
    <t>MITCHELL</t>
  </si>
  <si>
    <t>3108 Wilkinson Street</t>
  </si>
  <si>
    <t>ChadMMitchell@hotmail.com</t>
  </si>
  <si>
    <t>615-426-6227</t>
  </si>
  <si>
    <t>82-806</t>
  </si>
  <si>
    <t>LAUREN</t>
  </si>
  <si>
    <t>KEESE</t>
  </si>
  <si>
    <t>2705 Trainer Avenue</t>
  </si>
  <si>
    <t>Osco</t>
  </si>
  <si>
    <t>LaurenJKeese@hotmail.com</t>
  </si>
  <si>
    <t>309-522-5188</t>
  </si>
  <si>
    <t>88-859</t>
  </si>
  <si>
    <t>HERNANDEZ</t>
  </si>
  <si>
    <t>908 Bruce Street</t>
  </si>
  <si>
    <t>MaryCHernandez@aol.com</t>
  </si>
  <si>
    <t>314-340-4113</t>
  </si>
  <si>
    <t>68-696</t>
  </si>
  <si>
    <t>VEST</t>
  </si>
  <si>
    <t>222 Middleville Road</t>
  </si>
  <si>
    <t>VictorHVest@gmail.com</t>
  </si>
  <si>
    <t>626-320-5237</t>
  </si>
  <si>
    <t>48-514</t>
  </si>
  <si>
    <t>SHIRLEY</t>
  </si>
  <si>
    <t>DAVENPORT</t>
  </si>
  <si>
    <t>2863 Modoc Alley</t>
  </si>
  <si>
    <t>Meridian</t>
  </si>
  <si>
    <t>ShirleyJDavenport@hotmail.com</t>
  </si>
  <si>
    <t>208-846-4255</t>
  </si>
  <si>
    <t>08-103</t>
  </si>
  <si>
    <t>THOMAS</t>
  </si>
  <si>
    <t>MILLER</t>
  </si>
  <si>
    <t>4598 Asylum Avenue</t>
  </si>
  <si>
    <t>Waterbury</t>
  </si>
  <si>
    <t>ThomasTMiller@aol.com</t>
  </si>
  <si>
    <t>203-756-4654</t>
  </si>
  <si>
    <t>46-058</t>
  </si>
  <si>
    <t>BOBBY</t>
  </si>
  <si>
    <t>PETERSON</t>
  </si>
  <si>
    <t>3420 Glory Road</t>
  </si>
  <si>
    <t>BobbyPPeterson@gmail.com</t>
  </si>
  <si>
    <t>931-903-7838</t>
  </si>
  <si>
    <t>01-908</t>
  </si>
  <si>
    <t>CECELIA</t>
  </si>
  <si>
    <t>MANISCALCO</t>
  </si>
  <si>
    <t>208 Hornor Avenue</t>
  </si>
  <si>
    <t>Bartlesville</t>
  </si>
  <si>
    <t>CeceliaDManiscalco@gmail.com</t>
  </si>
  <si>
    <t>918-327-4974</t>
  </si>
  <si>
    <t>34-6507</t>
  </si>
  <si>
    <t>CURRY</t>
  </si>
  <si>
    <t>3950 Bryan Street</t>
  </si>
  <si>
    <t>Greensboro</t>
  </si>
  <si>
    <t>DorothyMCurry@hotmail.com</t>
  </si>
  <si>
    <t>336-272-7849</t>
  </si>
  <si>
    <t>01-083</t>
  </si>
  <si>
    <t>SUTTER</t>
  </si>
  <si>
    <t>3879 Rocket Drive</t>
  </si>
  <si>
    <t>JohnESutter@hotmail.com</t>
  </si>
  <si>
    <t>612-802-7642</t>
  </si>
  <si>
    <t>72-3278</t>
  </si>
  <si>
    <t>SACKETT</t>
  </si>
  <si>
    <t>1250 James Avenue</t>
  </si>
  <si>
    <t>Fair Haven (Cayuga)</t>
  </si>
  <si>
    <t>MichaelBSackett@gmail.com</t>
  </si>
  <si>
    <t>315-947-9213</t>
  </si>
  <si>
    <t>38-927</t>
  </si>
  <si>
    <t>COOK</t>
  </si>
  <si>
    <t>1225 Rosewood Court</t>
  </si>
  <si>
    <t>Iona</t>
  </si>
  <si>
    <t>PaulCCook@aol.com</t>
  </si>
  <si>
    <t>507-264-9162</t>
  </si>
  <si>
    <t>19-736</t>
  </si>
  <si>
    <t>BEHRENS</t>
  </si>
  <si>
    <t>714 Rosewood Lane</t>
  </si>
  <si>
    <t>RobertDBehrens@gmail.com</t>
  </si>
  <si>
    <t>212-923-0087</t>
  </si>
  <si>
    <t>52-435</t>
  </si>
  <si>
    <t>CHESTER</t>
  </si>
  <si>
    <t>ROBINSON</t>
  </si>
  <si>
    <t>202 Pritchard Court</t>
  </si>
  <si>
    <t>Mankato</t>
  </si>
  <si>
    <t>ChesterSRobinson@hotmail.com</t>
  </si>
  <si>
    <t>507-380-7249</t>
  </si>
  <si>
    <t>14-1070</t>
  </si>
  <si>
    <t>FREDRICK</t>
  </si>
  <si>
    <t>KIRST</t>
  </si>
  <si>
    <t>3617 Pickens Way</t>
  </si>
  <si>
    <t>Longview</t>
  </si>
  <si>
    <t>FredrickVKirst@hotmail.com</t>
  </si>
  <si>
    <t>903-330-0685</t>
  </si>
  <si>
    <t>66-1546</t>
  </si>
  <si>
    <t>RANDALL</t>
  </si>
  <si>
    <t>BEATY</t>
  </si>
  <si>
    <t>860 Davis Street</t>
  </si>
  <si>
    <t>Athens</t>
  </si>
  <si>
    <t>RandallDBeaty@hotmail.com</t>
  </si>
  <si>
    <t>706-389-3066</t>
  </si>
  <si>
    <t>10-924</t>
  </si>
  <si>
    <t>2354 Walt Nuzum Farm Road</t>
  </si>
  <si>
    <t>Canandaigua</t>
  </si>
  <si>
    <t>LindaRHernandez@gmail.com</t>
  </si>
  <si>
    <t>585-396-9512</t>
  </si>
  <si>
    <t>88-8968</t>
  </si>
  <si>
    <t>JEROME</t>
  </si>
  <si>
    <t>PERRY</t>
  </si>
  <si>
    <t>440 Harley Brook Lane</t>
  </si>
  <si>
    <t>Johnstown</t>
  </si>
  <si>
    <t>JeromeLPerry@hotmail.com</t>
  </si>
  <si>
    <t>814-599-6725</t>
  </si>
  <si>
    <t>66-719</t>
  </si>
  <si>
    <t>PITTMAN</t>
  </si>
  <si>
    <t>3874 Tea Berry Lane</t>
  </si>
  <si>
    <t>Stevens Point</t>
  </si>
  <si>
    <t>RichardMPittman@aol.com</t>
  </si>
  <si>
    <t>715-722-0751</t>
  </si>
  <si>
    <t>28-346</t>
  </si>
  <si>
    <t>HELEN</t>
  </si>
  <si>
    <t>OLSON</t>
  </si>
  <si>
    <t>2493 Oak Street</t>
  </si>
  <si>
    <t>East Syracuse</t>
  </si>
  <si>
    <t>HelenDOlson@gmail.com</t>
  </si>
  <si>
    <t>315-405-8099</t>
  </si>
  <si>
    <t>68-7943</t>
  </si>
  <si>
    <t>RUTH</t>
  </si>
  <si>
    <t>2706 Adamsville Road</t>
  </si>
  <si>
    <t>Harlingen</t>
  </si>
  <si>
    <t>RuthGWard@hotmail.com</t>
  </si>
  <si>
    <t>956-707-0282</t>
  </si>
  <si>
    <t>18-0003</t>
  </si>
  <si>
    <t>READ</t>
  </si>
  <si>
    <t>208 Liberty Street</t>
  </si>
  <si>
    <t>GregoryJRead@hotmail.com</t>
  </si>
  <si>
    <t>214-905-1653</t>
  </si>
  <si>
    <t>70-8565</t>
  </si>
  <si>
    <t>SCHIRO</t>
  </si>
  <si>
    <t>2276 Clinton Street</t>
  </si>
  <si>
    <t>Norristown</t>
  </si>
  <si>
    <t>MichaelMSchiro@hotmail.com</t>
  </si>
  <si>
    <t>484-979-2720</t>
  </si>
  <si>
    <t>66-7700</t>
  </si>
  <si>
    <t>FUMIKO</t>
  </si>
  <si>
    <t>ESTEP</t>
  </si>
  <si>
    <t>1121 Asylum Avenue</t>
  </si>
  <si>
    <t>Naugatuck</t>
  </si>
  <si>
    <t>FumikoAEstep@aol.com</t>
  </si>
  <si>
    <t>203-720-8403</t>
  </si>
  <si>
    <t>52-163</t>
  </si>
  <si>
    <t>PINNEY</t>
  </si>
  <si>
    <t>3149 Stanley Avenue</t>
  </si>
  <si>
    <t>Garden City</t>
  </si>
  <si>
    <t>MichaelDPinney@aol.com</t>
  </si>
  <si>
    <t>516-534-2203</t>
  </si>
  <si>
    <t>12-7865</t>
  </si>
  <si>
    <t>JESSICA</t>
  </si>
  <si>
    <t>CHAUDHRY</t>
  </si>
  <si>
    <t>4111 Prospect Street</t>
  </si>
  <si>
    <t>Pennsville</t>
  </si>
  <si>
    <t>JessicaBChaudhry@aol.com</t>
  </si>
  <si>
    <t>856-678-0016</t>
  </si>
  <si>
    <t>01-6869</t>
  </si>
  <si>
    <t>EMILIA</t>
  </si>
  <si>
    <t>1962 Camden Place</t>
  </si>
  <si>
    <t>Dillon</t>
  </si>
  <si>
    <t>EmiliaKBrown@aol.com</t>
  </si>
  <si>
    <t>843-841-0937</t>
  </si>
  <si>
    <t>01-7772</t>
  </si>
  <si>
    <t>1522 Pineview Drive</t>
  </si>
  <si>
    <t>Estherville</t>
  </si>
  <si>
    <t>KennethBHughes@hotmail.com</t>
  </si>
  <si>
    <t>507-862-7634</t>
  </si>
  <si>
    <t>12-7037</t>
  </si>
  <si>
    <t>MCCARY</t>
  </si>
  <si>
    <t>1882 Hilltop Street</t>
  </si>
  <si>
    <t>JanetBMcCary@gmail.com</t>
  </si>
  <si>
    <t>413-612-2907</t>
  </si>
  <si>
    <t>01-158</t>
  </si>
  <si>
    <t>ALMANZA</t>
  </si>
  <si>
    <t>4594 Diane Street</t>
  </si>
  <si>
    <t>Camarillo</t>
  </si>
  <si>
    <t>JasonVAlmanza@aol.com</t>
  </si>
  <si>
    <t>805-386-5275</t>
  </si>
  <si>
    <t>99-9558</t>
  </si>
  <si>
    <t>PETERS</t>
  </si>
  <si>
    <t>3778 Poe Road</t>
  </si>
  <si>
    <t>Scranton</t>
  </si>
  <si>
    <t>AntonioMPeters@aol.com</t>
  </si>
  <si>
    <t>843-210-7921</t>
  </si>
  <si>
    <t>04-1008</t>
  </si>
  <si>
    <t>TRIPP</t>
  </si>
  <si>
    <t>1719 Green Gate Lane</t>
  </si>
  <si>
    <t>Armiger</t>
  </si>
  <si>
    <t>JoanBTripp@aol.com</t>
  </si>
  <si>
    <t>443-770-5360</t>
  </si>
  <si>
    <t>72-959</t>
  </si>
  <si>
    <t>BRADLEY</t>
  </si>
  <si>
    <t>1779 Rosewood Lane</t>
  </si>
  <si>
    <t>JohnMBradley@hotmail.com</t>
  </si>
  <si>
    <t>212-906-5369</t>
  </si>
  <si>
    <t>84-5085</t>
  </si>
  <si>
    <t>MEDLIN</t>
  </si>
  <si>
    <t>1772 Myra Street</t>
  </si>
  <si>
    <t>LauraDMedlin@gmail.com</t>
  </si>
  <si>
    <t>401-456-4014</t>
  </si>
  <si>
    <t>18-6105</t>
  </si>
  <si>
    <t>IOLA</t>
  </si>
  <si>
    <t>DECKARD</t>
  </si>
  <si>
    <t>498 New York Avenue</t>
  </si>
  <si>
    <t>IolaEDeckard@gmail.com</t>
  </si>
  <si>
    <t>818-224-9755</t>
  </si>
  <si>
    <t>31-1907</t>
  </si>
  <si>
    <t>CHARLENE</t>
  </si>
  <si>
    <t>BERLANGA</t>
  </si>
  <si>
    <t>4602 Marshall Street</t>
  </si>
  <si>
    <t>Rising Sun</t>
  </si>
  <si>
    <t>CharleneJBerlanga@aol.com</t>
  </si>
  <si>
    <t>410-658-2837</t>
  </si>
  <si>
    <t>07-2892</t>
  </si>
  <si>
    <t>MAXINE</t>
  </si>
  <si>
    <t>4183 Park Street</t>
  </si>
  <si>
    <t>San Jose</t>
  </si>
  <si>
    <t>MaxineJThomas@gmail.com</t>
  </si>
  <si>
    <t>925-498-1439</t>
  </si>
  <si>
    <t>39-984</t>
  </si>
  <si>
    <t>COLLIER</t>
  </si>
  <si>
    <t>1312 Scheuvront Drive</t>
  </si>
  <si>
    <t>Longmont</t>
  </si>
  <si>
    <t>JenniferLCollier@gmail.com</t>
  </si>
  <si>
    <t>303-485-3220</t>
  </si>
  <si>
    <t>03-1561</t>
  </si>
  <si>
    <t>HAROLD</t>
  </si>
  <si>
    <t>SHIFLETT</t>
  </si>
  <si>
    <t>3289 Woodland Terrace</t>
  </si>
  <si>
    <t>Sacramento</t>
  </si>
  <si>
    <t>HaroldDShiflett@aol.com</t>
  </si>
  <si>
    <t>916-915-4042</t>
  </si>
  <si>
    <t>62-4862</t>
  </si>
  <si>
    <t>SANTIBANEZ</t>
  </si>
  <si>
    <t>3215 Wayside Lane</t>
  </si>
  <si>
    <t>Hayward</t>
  </si>
  <si>
    <t>MelissaNSantibanez@hotmail.com</t>
  </si>
  <si>
    <t>510-293-5989</t>
  </si>
  <si>
    <t>26-588</t>
  </si>
  <si>
    <t>SALVADOR</t>
  </si>
  <si>
    <t>JACQUEZ</t>
  </si>
  <si>
    <t>3383 Holden Street</t>
  </si>
  <si>
    <t>Goreville</t>
  </si>
  <si>
    <t>SalvadorEJacquez@hotmail.com</t>
  </si>
  <si>
    <t>618-995-1946</t>
  </si>
  <si>
    <t>22-288</t>
  </si>
  <si>
    <t>CAROL</t>
  </si>
  <si>
    <t>KONOPKA</t>
  </si>
  <si>
    <t>3168 Dogwood Road</t>
  </si>
  <si>
    <t>Phoenix</t>
  </si>
  <si>
    <t>CarolBKonopka@aol.com</t>
  </si>
  <si>
    <t>602-658-8508</t>
  </si>
  <si>
    <t>12-3293</t>
  </si>
  <si>
    <t>JULIET</t>
  </si>
  <si>
    <t>SAVOIE</t>
  </si>
  <si>
    <t>2973 Carolyns Circle</t>
  </si>
  <si>
    <t>Plano</t>
  </si>
  <si>
    <t>JulietDSavoie@gmail.com</t>
  </si>
  <si>
    <t>214-758-3149</t>
  </si>
  <si>
    <t>88-016</t>
  </si>
  <si>
    <t>KENDRA</t>
  </si>
  <si>
    <t>HUFF</t>
  </si>
  <si>
    <t>4238 Nash Street</t>
  </si>
  <si>
    <t>KendraDHuff@aol.com</t>
  </si>
  <si>
    <t>313-244-2334</t>
  </si>
  <si>
    <t>06-292</t>
  </si>
  <si>
    <t>BETTY</t>
  </si>
  <si>
    <t>MORGAN</t>
  </si>
  <si>
    <t>92 Kerry Way</t>
  </si>
  <si>
    <t>Pico Rivera</t>
  </si>
  <si>
    <t>BettyMMorgan@hotmail.com</t>
  </si>
  <si>
    <t>562-801-5030</t>
  </si>
  <si>
    <t>56-3068</t>
  </si>
  <si>
    <t>CARTER</t>
  </si>
  <si>
    <t>254 Gregory Lane</t>
  </si>
  <si>
    <t>Louisville</t>
  </si>
  <si>
    <t>DianeHCarter@gmail.com</t>
  </si>
  <si>
    <t>502-482-5966</t>
  </si>
  <si>
    <t>18-5660</t>
  </si>
  <si>
    <t>JOHNIE</t>
  </si>
  <si>
    <t>HALL</t>
  </si>
  <si>
    <t>1057 Oakridge Farm Lane</t>
  </si>
  <si>
    <t>JohnieTHall@hotmail.com</t>
  </si>
  <si>
    <t>262-298-6085</t>
  </si>
  <si>
    <t>92-8078</t>
  </si>
  <si>
    <t>STAINBROOK</t>
  </si>
  <si>
    <t>3807 Keyser Ridge Road</t>
  </si>
  <si>
    <t>MildredJStainbrook@hotmail.com</t>
  </si>
  <si>
    <t>336-458-1243</t>
  </si>
  <si>
    <t>07-057</t>
  </si>
  <si>
    <t>ROSENBLUM</t>
  </si>
  <si>
    <t>1227 Red Bud Lane</t>
  </si>
  <si>
    <t>Teterboro</t>
  </si>
  <si>
    <t>RonaldKRosenblum@aol.com</t>
  </si>
  <si>
    <t>862-223-2412</t>
  </si>
  <si>
    <t>32-259</t>
  </si>
  <si>
    <t>MONICA</t>
  </si>
  <si>
    <t>FAULKNER</t>
  </si>
  <si>
    <t>4170 Wilmar Farm Road</t>
  </si>
  <si>
    <t>MonicaDFaulkner@aol.com</t>
  </si>
  <si>
    <t>240-358-7903</t>
  </si>
  <si>
    <t>52-318</t>
  </si>
  <si>
    <t>CLAYTON</t>
  </si>
  <si>
    <t>OLIVO</t>
  </si>
  <si>
    <t>2503 Rafe Lane</t>
  </si>
  <si>
    <t>ClaytonTOlivo@aol.com</t>
  </si>
  <si>
    <t>662-654-6800</t>
  </si>
  <si>
    <t>05-485</t>
  </si>
  <si>
    <t>OLIVERA</t>
  </si>
  <si>
    <t>950 Brownton Road</t>
  </si>
  <si>
    <t>MatthewBOlivera@aol.com</t>
  </si>
  <si>
    <t>662-364-1041</t>
  </si>
  <si>
    <t>18-4493</t>
  </si>
  <si>
    <t>JUAN</t>
  </si>
  <si>
    <t>PARISI</t>
  </si>
  <si>
    <t>2356 Fairway Drive</t>
  </si>
  <si>
    <t>Vacaville</t>
  </si>
  <si>
    <t>JuanMParisi@hotmail.com</t>
  </si>
  <si>
    <t>707-451-5021</t>
  </si>
  <si>
    <t>49-4081</t>
  </si>
  <si>
    <t>CECILIA</t>
  </si>
  <si>
    <t>WATTS</t>
  </si>
  <si>
    <t>2349 Roosevelt Road</t>
  </si>
  <si>
    <t>Mcpherson</t>
  </si>
  <si>
    <t>CeciliaMWatts@hotmail.com</t>
  </si>
  <si>
    <t>620-242-3192</t>
  </si>
  <si>
    <t>04-120</t>
  </si>
  <si>
    <t>DENNIS</t>
  </si>
  <si>
    <t>1280 Massachusetts Avenue</t>
  </si>
  <si>
    <t>DennisMWright@aol.com</t>
  </si>
  <si>
    <t>202-812-2226</t>
  </si>
  <si>
    <t>13-457</t>
  </si>
  <si>
    <t>404 Reppert Coal Road</t>
  </si>
  <si>
    <t>MonteSSmith@gmail.com</t>
  </si>
  <si>
    <t>586-912-1768</t>
  </si>
  <si>
    <t>56-1706</t>
  </si>
  <si>
    <t>HURST</t>
  </si>
  <si>
    <t>594 Red Hawk Road</t>
  </si>
  <si>
    <t>Orlando</t>
  </si>
  <si>
    <t>GloriaJHurst@hotmail.com</t>
  </si>
  <si>
    <t>321-204-3633</t>
  </si>
  <si>
    <t>94-3049</t>
  </si>
  <si>
    <t>1357 Mulberry Street</t>
  </si>
  <si>
    <t>JoanTWilliams@hotmail.com</t>
  </si>
  <si>
    <t>936-629-0267</t>
  </si>
  <si>
    <t>25-8374</t>
  </si>
  <si>
    <t>ALTON</t>
  </si>
  <si>
    <t>2977 Grey Fox Farm Road</t>
  </si>
  <si>
    <t>AltonJHarris@aol.com</t>
  </si>
  <si>
    <t>281-792-2244</t>
  </si>
  <si>
    <t>98-381</t>
  </si>
  <si>
    <t>HAZEL</t>
  </si>
  <si>
    <t>GLEASON</t>
  </si>
  <si>
    <t>1064 Skips Lane</t>
  </si>
  <si>
    <t>Tempe</t>
  </si>
  <si>
    <t>HazelJGleason@gmail.com</t>
  </si>
  <si>
    <t>928-550-9235</t>
  </si>
  <si>
    <t>22-2976</t>
  </si>
  <si>
    <t>THAMES</t>
  </si>
  <si>
    <t>1883 Oakwood Avenue</t>
  </si>
  <si>
    <t>ChristopherRThames@hotmail.com</t>
  </si>
  <si>
    <t>212-646-6179</t>
  </si>
  <si>
    <t>54-393</t>
  </si>
  <si>
    <t>CARL</t>
  </si>
  <si>
    <t>2972 Longview Avenue</t>
  </si>
  <si>
    <t>Staten Island</t>
  </si>
  <si>
    <t>CarlCGreen@gmail.com</t>
  </si>
  <si>
    <t>718-556-0176</t>
  </si>
  <si>
    <t>30-694</t>
  </si>
  <si>
    <t>HANS</t>
  </si>
  <si>
    <t>MCDANIEL</t>
  </si>
  <si>
    <t>3456 Pine Garden Lane</t>
  </si>
  <si>
    <t>Atlanta</t>
  </si>
  <si>
    <t>HansJMcDaniel@aol.com</t>
  </si>
  <si>
    <t>770-681-2104</t>
  </si>
  <si>
    <t>28-9896</t>
  </si>
  <si>
    <t>IRA</t>
  </si>
  <si>
    <t>KOCHER</t>
  </si>
  <si>
    <t>1092 Allison Avenue</t>
  </si>
  <si>
    <t>Chesapeake</t>
  </si>
  <si>
    <t>IraSKocher@gmail.com</t>
  </si>
  <si>
    <t>757-645-6505</t>
  </si>
  <si>
    <t>65-457</t>
  </si>
  <si>
    <t>CORY</t>
  </si>
  <si>
    <t>1241 Terry Lane</t>
  </si>
  <si>
    <t>Titusville</t>
  </si>
  <si>
    <t>CoryKJackson@aol.com</t>
  </si>
  <si>
    <t>321-268-3967</t>
  </si>
  <si>
    <t>01-5103</t>
  </si>
  <si>
    <t>CEDRIC</t>
  </si>
  <si>
    <t>3377 Clarksburg Park Road</t>
  </si>
  <si>
    <t>Tuba City</t>
  </si>
  <si>
    <t>CedricEBarnes@hotmail.com</t>
  </si>
  <si>
    <t>928-283-4581</t>
  </si>
  <si>
    <t>14-3867</t>
  </si>
  <si>
    <t>EVANS</t>
  </si>
  <si>
    <t>3205 Lucy Lane</t>
  </si>
  <si>
    <t>Evansville</t>
  </si>
  <si>
    <t>GeorgeMEvans@gmail.com</t>
  </si>
  <si>
    <t>812-464-4262</t>
  </si>
  <si>
    <t>36-190</t>
  </si>
  <si>
    <t>LEE</t>
  </si>
  <si>
    <t>MCMEANS</t>
  </si>
  <si>
    <t>4833 Jerome Avenue</t>
  </si>
  <si>
    <t>LeeCMcMeans@gmail.com</t>
  </si>
  <si>
    <t>956-223-1990</t>
  </si>
  <si>
    <t>90-2259</t>
  </si>
  <si>
    <t>AMY</t>
  </si>
  <si>
    <t>RANGEL</t>
  </si>
  <si>
    <t>950 Pallet Street</t>
  </si>
  <si>
    <t>AmySRangel@aol.com</t>
  </si>
  <si>
    <t>914-325-9356</t>
  </si>
  <si>
    <t>80-3249</t>
  </si>
  <si>
    <t>NAOMI</t>
  </si>
  <si>
    <t>MARSHALL</t>
  </si>
  <si>
    <t>3957 Sycamore Circle</t>
  </si>
  <si>
    <t>NaomiRMarshall@hotmail.com</t>
  </si>
  <si>
    <t>682-558-0129</t>
  </si>
  <si>
    <t>14-4460</t>
  </si>
  <si>
    <t>NANCY</t>
  </si>
  <si>
    <t>MORRIS</t>
  </si>
  <si>
    <t>2631 Emeral Dreams Drive</t>
  </si>
  <si>
    <t>Rockford</t>
  </si>
  <si>
    <t>NancyKMorris@aol.com</t>
  </si>
  <si>
    <t>815-242-9508</t>
  </si>
  <si>
    <t>76-619</t>
  </si>
  <si>
    <t>KUHLMAN</t>
  </si>
  <si>
    <t>4493 Middleville Road</t>
  </si>
  <si>
    <t>La Puente</t>
  </si>
  <si>
    <t>RandyFKuhlman@hotmail.com</t>
  </si>
  <si>
    <t>626-369-7009</t>
  </si>
  <si>
    <t>60-080</t>
  </si>
  <si>
    <t>ROUSH</t>
  </si>
  <si>
    <t>2639 Dovetail Estates</t>
  </si>
  <si>
    <t>Lawton</t>
  </si>
  <si>
    <t>HelenDRoush@aol.com</t>
  </si>
  <si>
    <t>580-917-4142</t>
  </si>
  <si>
    <t>62-0806</t>
  </si>
  <si>
    <t>WOOD</t>
  </si>
  <si>
    <t>2776 Patterson Fork Road</t>
  </si>
  <si>
    <t>Elmhurst</t>
  </si>
  <si>
    <t>MichaelJWood@gmail.com</t>
  </si>
  <si>
    <t>312-656-9476</t>
  </si>
  <si>
    <t>22-299</t>
  </si>
  <si>
    <t>JAHNKE</t>
  </si>
  <si>
    <t>1608 Davis Lane</t>
  </si>
  <si>
    <t>Greenwood Village</t>
  </si>
  <si>
    <t>JenniferMJahnke@gmail.com</t>
  </si>
  <si>
    <t>720-330-2061</t>
  </si>
  <si>
    <t>28-7080</t>
  </si>
  <si>
    <t>TERRI</t>
  </si>
  <si>
    <t>OGRADY</t>
  </si>
  <si>
    <t>2966 Meadow View Drive</t>
  </si>
  <si>
    <t>Hartford</t>
  </si>
  <si>
    <t>TerriLOgrady@hotmail.com</t>
  </si>
  <si>
    <t>860-473-6593</t>
  </si>
  <si>
    <t>08-8630</t>
  </si>
  <si>
    <t>TALBOT</t>
  </si>
  <si>
    <t>414 Crestview Manor</t>
  </si>
  <si>
    <t>Indianapolis</t>
  </si>
  <si>
    <t>CharlesLTalbot@aol.com</t>
  </si>
  <si>
    <t>317-239-9935</t>
  </si>
  <si>
    <t>66-508</t>
  </si>
  <si>
    <t>KELLIHER</t>
  </si>
  <si>
    <t>4185 Spring Haven Trail</t>
  </si>
  <si>
    <t>Rochelle Park</t>
  </si>
  <si>
    <t>ChristineWKelliher@aol.com</t>
  </si>
  <si>
    <t>973-727-8214</t>
  </si>
  <si>
    <t>40-7729</t>
  </si>
  <si>
    <t>SEBASTIAN</t>
  </si>
  <si>
    <t>4546 Cherry Camp Road</t>
  </si>
  <si>
    <t>SebastianETaylor@hotmail.com</t>
  </si>
  <si>
    <t>773-521-9276</t>
  </si>
  <si>
    <t>20-5708</t>
  </si>
  <si>
    <t>SUSIE</t>
  </si>
  <si>
    <t>ROBBINS</t>
  </si>
  <si>
    <t>299 Brooklyn Street</t>
  </si>
  <si>
    <t>Eugene</t>
  </si>
  <si>
    <t>SusieDRobbins@hotmail.com</t>
  </si>
  <si>
    <t>541-236-2926</t>
  </si>
  <si>
    <t>62-9371</t>
  </si>
  <si>
    <t>CHAMPAGNE</t>
  </si>
  <si>
    <t>1875 Renwick Drive</t>
  </si>
  <si>
    <t>MaryHChampagne@gmail.com</t>
  </si>
  <si>
    <t>484-253-4348</t>
  </si>
  <si>
    <t>78-0069</t>
  </si>
  <si>
    <t>703 Tyler Avenue</t>
  </si>
  <si>
    <t>KatrinaCRamirez@aol.com</t>
  </si>
  <si>
    <t>305-275-4698</t>
  </si>
  <si>
    <t>27-492</t>
  </si>
  <si>
    <t>REBECCA</t>
  </si>
  <si>
    <t>LAMOREAUX</t>
  </si>
  <si>
    <t>249 Court Street</t>
  </si>
  <si>
    <t>Maryland Heights</t>
  </si>
  <si>
    <t>RebeccaMLamoreaux@gmail.com</t>
  </si>
  <si>
    <t>636-794-2632</t>
  </si>
  <si>
    <t>36-0156</t>
  </si>
  <si>
    <t>GLENN</t>
  </si>
  <si>
    <t>SHARP</t>
  </si>
  <si>
    <t>825 North Avenue</t>
  </si>
  <si>
    <t>Grand Island</t>
  </si>
  <si>
    <t>GlennLSharp@hotmail.com</t>
  </si>
  <si>
    <t>402-851-3045</t>
  </si>
  <si>
    <t>47-054</t>
  </si>
  <si>
    <t>DAREN</t>
  </si>
  <si>
    <t>JACOBS</t>
  </si>
  <si>
    <t>3276 Cook Hill Road</t>
  </si>
  <si>
    <t>Port Chester</t>
  </si>
  <si>
    <t>DarenLJacobs@aol.com</t>
  </si>
  <si>
    <t>203-531-9965</t>
  </si>
  <si>
    <t>30-399</t>
  </si>
  <si>
    <t>REBEKAH</t>
  </si>
  <si>
    <t>SPARLING</t>
  </si>
  <si>
    <t>4338 Dark Hollow Road</t>
  </si>
  <si>
    <t>RebekahRSparling@aol.com</t>
  </si>
  <si>
    <t>609-235-2740</t>
  </si>
  <si>
    <t>46-291</t>
  </si>
  <si>
    <t>IRENE</t>
  </si>
  <si>
    <t>3547 Morris Street</t>
  </si>
  <si>
    <t>Pleasanton</t>
  </si>
  <si>
    <t>IreneGGreen@gmail.com</t>
  </si>
  <si>
    <t>830-275-3683</t>
  </si>
  <si>
    <t>10-8920</t>
  </si>
  <si>
    <t>LYNN</t>
  </si>
  <si>
    <t>Y</t>
  </si>
  <si>
    <t>CASS</t>
  </si>
  <si>
    <t>3597 Perry Street</t>
  </si>
  <si>
    <t>Clio</t>
  </si>
  <si>
    <t>LynnYCass@gmail.com</t>
  </si>
  <si>
    <t>810-687-4690</t>
  </si>
  <si>
    <t>17-5025</t>
  </si>
  <si>
    <t>ROJAS</t>
  </si>
  <si>
    <t>349 Confederate Drive</t>
  </si>
  <si>
    <t>SueJRojas@hotmail.com</t>
  </si>
  <si>
    <t>315-703-0136</t>
  </si>
  <si>
    <t>76-872</t>
  </si>
  <si>
    <t>EULALIA</t>
  </si>
  <si>
    <t>653 Cabell Avenue</t>
  </si>
  <si>
    <t>EulaliaRMiller@aol.com</t>
  </si>
  <si>
    <t>703-579-7053</t>
  </si>
  <si>
    <t>21-9778</t>
  </si>
  <si>
    <t>SANDRA</t>
  </si>
  <si>
    <t>SPINKS</t>
  </si>
  <si>
    <t>4444 James Street</t>
  </si>
  <si>
    <t>Corfu</t>
  </si>
  <si>
    <t>SandraASpinks@hotmail.com</t>
  </si>
  <si>
    <t>585-599-9996</t>
  </si>
  <si>
    <t>48-4585</t>
  </si>
  <si>
    <t>MIRANDA</t>
  </si>
  <si>
    <t>242 Edwards Street</t>
  </si>
  <si>
    <t>MirandaVJohnson@hotmail.com</t>
  </si>
  <si>
    <t>252-796-7464</t>
  </si>
  <si>
    <t>88-5813</t>
  </si>
  <si>
    <t>EILAND</t>
  </si>
  <si>
    <t>2540 Masonic Hill Road</t>
  </si>
  <si>
    <t>Little Rock</t>
  </si>
  <si>
    <t>RobertKEiland@gmail.com</t>
  </si>
  <si>
    <t>501-615-9324</t>
  </si>
  <si>
    <t>05-746</t>
  </si>
  <si>
    <t>CATHERINE</t>
  </si>
  <si>
    <t>SAPPINGTON</t>
  </si>
  <si>
    <t>131 Juniper Drive</t>
  </si>
  <si>
    <t>Bay City</t>
  </si>
  <si>
    <t>CatherineJSappington@hotmail.com</t>
  </si>
  <si>
    <t>989-894-4769</t>
  </si>
  <si>
    <t>20-191</t>
  </si>
  <si>
    <t>BRIANNA</t>
  </si>
  <si>
    <t>HIGGINS</t>
  </si>
  <si>
    <t>4887 Post Avenue</t>
  </si>
  <si>
    <t>BriannaDHiggins@hotmail.com</t>
  </si>
  <si>
    <t>219-308-7382</t>
  </si>
  <si>
    <t>94-418</t>
  </si>
  <si>
    <t>LUIS</t>
  </si>
  <si>
    <t>STOKES</t>
  </si>
  <si>
    <t>4284 West Drive</t>
  </si>
  <si>
    <t>LuisKStokes@aol.com</t>
  </si>
  <si>
    <t>312-432-5580</t>
  </si>
  <si>
    <t>92-6259</t>
  </si>
  <si>
    <t>RUSS</t>
  </si>
  <si>
    <t>MORRISON</t>
  </si>
  <si>
    <t>3892 Hanover Street</t>
  </si>
  <si>
    <t>RussGMorrison@aol.com</t>
  </si>
  <si>
    <t>917-678-5295</t>
  </si>
  <si>
    <t>22-3879</t>
  </si>
  <si>
    <t>CARLOTTA</t>
  </si>
  <si>
    <t>CHAMBERLAIN</t>
  </si>
  <si>
    <t>89 Beechwood Drive</t>
  </si>
  <si>
    <t>CarlottaCChamberlain@hotmail.com</t>
  </si>
  <si>
    <t>412-216-9115</t>
  </si>
  <si>
    <t>66-9804</t>
  </si>
  <si>
    <t>STANLEY</t>
  </si>
  <si>
    <t>VINSON</t>
  </si>
  <si>
    <t>2548 Sarah Drive</t>
  </si>
  <si>
    <t>StanleyAVinson@aol.com</t>
  </si>
  <si>
    <t>337-505-6275</t>
  </si>
  <si>
    <t>01-379</t>
  </si>
  <si>
    <t>VERN</t>
  </si>
  <si>
    <t>RIPPLE</t>
  </si>
  <si>
    <t>4135 Hickory Ridge Drive</t>
  </si>
  <si>
    <t>VernGRipple@gmail.com</t>
  </si>
  <si>
    <t>702-681-1168</t>
  </si>
  <si>
    <t>62-384</t>
  </si>
  <si>
    <t>KATHLEEN</t>
  </si>
  <si>
    <t>4692 Tipple Road</t>
  </si>
  <si>
    <t>KathleenHWalters@aol.com</t>
  </si>
  <si>
    <t>215-751-3031</t>
  </si>
  <si>
    <t>60-9840</t>
  </si>
  <si>
    <t>BUSHMAN</t>
  </si>
  <si>
    <t>2346 Spadafore Drive</t>
  </si>
  <si>
    <t>Glasgow</t>
  </si>
  <si>
    <t>RobertCBushman@gmail.com</t>
  </si>
  <si>
    <t>814-687-8961</t>
  </si>
  <si>
    <t>26-4703</t>
  </si>
  <si>
    <t>ANDREA</t>
  </si>
  <si>
    <t>GOODE</t>
  </si>
  <si>
    <t>4928 Hurry Street</t>
  </si>
  <si>
    <t>Fredericksburg</t>
  </si>
  <si>
    <t>AndreaKGoode@aol.com</t>
  </si>
  <si>
    <t>540-368-4413</t>
  </si>
  <si>
    <t>01-270</t>
  </si>
  <si>
    <t>JENNIE</t>
  </si>
  <si>
    <t>TELLEZ</t>
  </si>
  <si>
    <t>4465 Brannon Avenue</t>
  </si>
  <si>
    <t>St Augustine</t>
  </si>
  <si>
    <t>JennieSTellez@aol.com</t>
  </si>
  <si>
    <t>904-824-8057</t>
  </si>
  <si>
    <t>20-2143</t>
  </si>
  <si>
    <t>3445 Stadium Drive</t>
  </si>
  <si>
    <t>Westborough</t>
  </si>
  <si>
    <t>JamesCFord@gmail.com</t>
  </si>
  <si>
    <t>508-254-4835</t>
  </si>
  <si>
    <t>14-574</t>
  </si>
  <si>
    <t>GARETT</t>
  </si>
  <si>
    <t>3615 Kelly Drive</t>
  </si>
  <si>
    <t>Glen Daniel</t>
  </si>
  <si>
    <t>GraceBGarett@gmail.com</t>
  </si>
  <si>
    <t>304-934-4291</t>
  </si>
  <si>
    <t>01-5879</t>
  </si>
  <si>
    <t>AMELIA</t>
  </si>
  <si>
    <t>1004 Parkway Street</t>
  </si>
  <si>
    <t>Barstow</t>
  </si>
  <si>
    <t>AmeliaDRamirez@gmail.com</t>
  </si>
  <si>
    <t>760-252-2755</t>
  </si>
  <si>
    <t>67-873</t>
  </si>
  <si>
    <t>CRYSTAL</t>
  </si>
  <si>
    <t>1058 Bryan Avenue</t>
  </si>
  <si>
    <t>Saint Paul</t>
  </si>
  <si>
    <t>CrystalWHansen@aol.com</t>
  </si>
  <si>
    <t>651-310-5786</t>
  </si>
  <si>
    <t>30-1534</t>
  </si>
  <si>
    <t>PARR</t>
  </si>
  <si>
    <t>775 Stonecoal Road</t>
  </si>
  <si>
    <t>Toledo</t>
  </si>
  <si>
    <t>ThelmaBParr@aol.com</t>
  </si>
  <si>
    <t>419-534-0285</t>
  </si>
  <si>
    <t>28-868</t>
  </si>
  <si>
    <t>DONNY</t>
  </si>
  <si>
    <t>CLEMENS</t>
  </si>
  <si>
    <t>147 Trymore Road</t>
  </si>
  <si>
    <t>Dakota</t>
  </si>
  <si>
    <t>DonnyMClemens@aol.com</t>
  </si>
  <si>
    <t>507-643-6453</t>
  </si>
  <si>
    <t>08-8161</t>
  </si>
  <si>
    <t>KIMBERLY</t>
  </si>
  <si>
    <t>WARNER</t>
  </si>
  <si>
    <t>468 Sand Fork Road</t>
  </si>
  <si>
    <t>Culver</t>
  </si>
  <si>
    <t>KimberlyGWarner@gmail.com</t>
  </si>
  <si>
    <t>574-842-3766</t>
  </si>
  <si>
    <t>10-2516</t>
  </si>
  <si>
    <t>MIDDLETON</t>
  </si>
  <si>
    <t>3692 Hog Camp Road</t>
  </si>
  <si>
    <t>Burr Ridge</t>
  </si>
  <si>
    <t>DavidLMiddleton@gmail.com</t>
  </si>
  <si>
    <t>708-440-1717</t>
  </si>
  <si>
    <t>48-4032</t>
  </si>
  <si>
    <t>1671 Angie Drive</t>
  </si>
  <si>
    <t>Burbank</t>
  </si>
  <si>
    <t>RobertJMartin@gmail.com</t>
  </si>
  <si>
    <t>714-932-0522</t>
  </si>
  <si>
    <t>20-6165</t>
  </si>
  <si>
    <t>GIL</t>
  </si>
  <si>
    <t>3542 Saint Marys Avenue</t>
  </si>
  <si>
    <t>AnitaJGil@aol.com</t>
  </si>
  <si>
    <t>315-856-9029</t>
  </si>
  <si>
    <t>92-6875</t>
  </si>
  <si>
    <t>KENNEY</t>
  </si>
  <si>
    <t>1364 Rainy Day Drive</t>
  </si>
  <si>
    <t>Brookline</t>
  </si>
  <si>
    <t>EduardoTKenney@gmail.com</t>
  </si>
  <si>
    <t>617-975-4477</t>
  </si>
  <si>
    <t>48-902</t>
  </si>
  <si>
    <t>TIMOTHY</t>
  </si>
  <si>
    <t>OSORIO</t>
  </si>
  <si>
    <t>1366 Allison Avenue</t>
  </si>
  <si>
    <t>Newport News</t>
  </si>
  <si>
    <t>TimothyTOsorio@gmail.com</t>
  </si>
  <si>
    <t>757-575-7593</t>
  </si>
  <si>
    <t>83-568</t>
  </si>
  <si>
    <t>ROSE</t>
  </si>
  <si>
    <t>SAENZ</t>
  </si>
  <si>
    <t>3620 Joes Road</t>
  </si>
  <si>
    <t>RoseDSaenz@aol.com</t>
  </si>
  <si>
    <t>518-752-8401</t>
  </si>
  <si>
    <t>54-1221</t>
  </si>
  <si>
    <t>POLK</t>
  </si>
  <si>
    <t>508 Wexford Way</t>
  </si>
  <si>
    <t>Lancaster</t>
  </si>
  <si>
    <t>ChristopherBPolk@gmail.com</t>
  </si>
  <si>
    <t>803-273-3808</t>
  </si>
  <si>
    <t>08-877</t>
  </si>
  <si>
    <t>ALVIN</t>
  </si>
  <si>
    <t>PRUETT</t>
  </si>
  <si>
    <t>4360 Richison Drive</t>
  </si>
  <si>
    <t>Townsend</t>
  </si>
  <si>
    <t>AlvinSPruett@hotmail.com</t>
  </si>
  <si>
    <t>406-266-4315</t>
  </si>
  <si>
    <t>03-492</t>
  </si>
  <si>
    <t>1425 Golden Street</t>
  </si>
  <si>
    <t>Doral</t>
  </si>
  <si>
    <t>MichaelSHughes@gmail.com</t>
  </si>
  <si>
    <t>305-697-3467</t>
  </si>
  <si>
    <t>53-5346</t>
  </si>
  <si>
    <t>KIM</t>
  </si>
  <si>
    <t>220 Bingamon Branch Road</t>
  </si>
  <si>
    <t>DarrylMKim@hotmail.com</t>
  </si>
  <si>
    <t>847-225-1558</t>
  </si>
  <si>
    <t>03-5101</t>
  </si>
  <si>
    <t>LEFEBRE</t>
  </si>
  <si>
    <t>979 Columbia Road</t>
  </si>
  <si>
    <t>LeeJLefebre@aol.com</t>
  </si>
  <si>
    <t>302-930-4106</t>
  </si>
  <si>
    <t>07-867</t>
  </si>
  <si>
    <t>LATRICIA</t>
  </si>
  <si>
    <t>COX</t>
  </si>
  <si>
    <t>95 Southern Street</t>
  </si>
  <si>
    <t>LatriciaDCox@aol.com</t>
  </si>
  <si>
    <t>516-620-5799</t>
  </si>
  <si>
    <t>34-254</t>
  </si>
  <si>
    <t>HARDING</t>
  </si>
  <si>
    <t>2699 Bingamon Branch Road</t>
  </si>
  <si>
    <t>Wilmette</t>
  </si>
  <si>
    <t>DavidMHarding@hotmail.com</t>
  </si>
  <si>
    <t>847-256-4606</t>
  </si>
  <si>
    <t>94-4218</t>
  </si>
  <si>
    <t>LOVETT</t>
  </si>
  <si>
    <t>438 Wilson Avenue</t>
  </si>
  <si>
    <t>Rowlett</t>
  </si>
  <si>
    <t>PatrickJLovett@gmail.com</t>
  </si>
  <si>
    <t>972-463-1136</t>
  </si>
  <si>
    <t>41-958</t>
  </si>
  <si>
    <t>2966 Doe Meadow Drive</t>
  </si>
  <si>
    <t>Bethesda</t>
  </si>
  <si>
    <t>FrankPClark@aol.com</t>
  </si>
  <si>
    <t>301-564-7600</t>
  </si>
  <si>
    <t>54-5543</t>
  </si>
  <si>
    <t>1696 Thomas Street</t>
  </si>
  <si>
    <t>Wood Dale</t>
  </si>
  <si>
    <t>ChesterSSmith@aol.com</t>
  </si>
  <si>
    <t>847-481-7950</t>
  </si>
  <si>
    <t>36-892</t>
  </si>
  <si>
    <t>PARK</t>
  </si>
  <si>
    <t>3429 School Street</t>
  </si>
  <si>
    <t>New Haven</t>
  </si>
  <si>
    <t>WilliamJPark@aol.com</t>
  </si>
  <si>
    <t>203-764-5301</t>
  </si>
  <si>
    <t>12-225</t>
  </si>
  <si>
    <t>ANDREW</t>
  </si>
  <si>
    <t>HUNTER</t>
  </si>
  <si>
    <t>4114 Godfrey Road</t>
  </si>
  <si>
    <t>AndrewHHunter@aol.com</t>
  </si>
  <si>
    <t>212-496-4350</t>
  </si>
  <si>
    <t>60-1865</t>
  </si>
  <si>
    <t>RICKY</t>
  </si>
  <si>
    <t>SHIELDS</t>
  </si>
  <si>
    <t>4461 Liberty Avenue</t>
  </si>
  <si>
    <t>RickyBShields@gmail.com</t>
  </si>
  <si>
    <t>714-431-2249</t>
  </si>
  <si>
    <t>84-1306</t>
  </si>
  <si>
    <t>WELLS</t>
  </si>
  <si>
    <t>1364 Duffy Street</t>
  </si>
  <si>
    <t>Laporte</t>
  </si>
  <si>
    <t>BobbyMWells@gmail.com</t>
  </si>
  <si>
    <t>219-851-2179</t>
  </si>
  <si>
    <t>48-663</t>
  </si>
  <si>
    <t>ADAM</t>
  </si>
  <si>
    <t>4626 Oxford Court</t>
  </si>
  <si>
    <t>Grenada</t>
  </si>
  <si>
    <t>AdamVWhite@gmail.com</t>
  </si>
  <si>
    <t>662-229-2018</t>
  </si>
  <si>
    <t>45-309</t>
  </si>
  <si>
    <t>HUBBARD</t>
  </si>
  <si>
    <t>1846 Wayback Lane</t>
  </si>
  <si>
    <t>MarshallJHubbard@aol.com</t>
  </si>
  <si>
    <t>631-433-2627</t>
  </si>
  <si>
    <t>38-208</t>
  </si>
  <si>
    <t>671 Ross Street</t>
  </si>
  <si>
    <t>Metropolis</t>
  </si>
  <si>
    <t>JamesJPerry@aol.com</t>
  </si>
  <si>
    <t>618-280-2545</t>
  </si>
  <si>
    <t>66-637</t>
  </si>
  <si>
    <t>PAULINE</t>
  </si>
  <si>
    <t>FISHER</t>
  </si>
  <si>
    <t>2642 Snowbird Lane</t>
  </si>
  <si>
    <t>Battle Creek</t>
  </si>
  <si>
    <t>PaulineRFisher@aol.com</t>
  </si>
  <si>
    <t>402-675-2093</t>
  </si>
  <si>
    <t>54-633</t>
  </si>
  <si>
    <t>WILSON</t>
  </si>
  <si>
    <t>3742 Kenwood Place</t>
  </si>
  <si>
    <t>DavidJWilson@aol.com</t>
  </si>
  <si>
    <t>954-538-7145</t>
  </si>
  <si>
    <t>43-4363</t>
  </si>
  <si>
    <t>HINES</t>
  </si>
  <si>
    <t>2312 Marion Drive</t>
  </si>
  <si>
    <t>KimWHines@aol.com</t>
  </si>
  <si>
    <t>813-435-8079</t>
  </si>
  <si>
    <t>16-036</t>
  </si>
  <si>
    <t>LOUISE</t>
  </si>
  <si>
    <t>BENNER</t>
  </si>
  <si>
    <t>2872 Sarah Drive</t>
  </si>
  <si>
    <t>LouiseEBenner@hotmail.com</t>
  </si>
  <si>
    <t>337-430-3692</t>
  </si>
  <si>
    <t>05-9915</t>
  </si>
  <si>
    <t>GARRY</t>
  </si>
  <si>
    <t>PANNELL</t>
  </si>
  <si>
    <t>1757 Upland Avenue</t>
  </si>
  <si>
    <t>Lima</t>
  </si>
  <si>
    <t>GarryJPannell@aol.com</t>
  </si>
  <si>
    <t>419-860-5124</t>
  </si>
  <si>
    <t>16-1094</t>
  </si>
  <si>
    <t>4352 Russell Street</t>
  </si>
  <si>
    <t>WilliamRKim@aol.com</t>
  </si>
  <si>
    <t>978-965-4662</t>
  </si>
  <si>
    <t>84-853</t>
  </si>
  <si>
    <t>JOYCE</t>
  </si>
  <si>
    <t>MILLARD</t>
  </si>
  <si>
    <t>4105 Frederick Street</t>
  </si>
  <si>
    <t>JoyceMMillard@aol.com</t>
  </si>
  <si>
    <t>916-276-4694</t>
  </si>
  <si>
    <t>94-998</t>
  </si>
  <si>
    <t>VALENTINE</t>
  </si>
  <si>
    <t>2064 Marie Street</t>
  </si>
  <si>
    <t>Reisterstown</t>
  </si>
  <si>
    <t>SusanSValentine@gmail.com</t>
  </si>
  <si>
    <t>410-861-1596</t>
  </si>
  <si>
    <t>84-8580</t>
  </si>
  <si>
    <t>283 Hickory Ridge Drive</t>
  </si>
  <si>
    <t>CharlesMRoberts@hotmail.com</t>
  </si>
  <si>
    <t>702-691-7861</t>
  </si>
  <si>
    <t>51-906</t>
  </si>
  <si>
    <t>CARLOS</t>
  </si>
  <si>
    <t>NA</t>
  </si>
  <si>
    <t>2290 Khale Street</t>
  </si>
  <si>
    <t>Murrells Inlet</t>
  </si>
  <si>
    <t>CarlosMNa@gmail.com</t>
  </si>
  <si>
    <t>843-652-1588</t>
  </si>
  <si>
    <t>49-301</t>
  </si>
  <si>
    <t>2374 Luke Lane</t>
  </si>
  <si>
    <t>TheresaJCraig@hotmail.com</t>
  </si>
  <si>
    <t>580-284-2663</t>
  </si>
  <si>
    <t>02-679</t>
  </si>
  <si>
    <t>CURTIS</t>
  </si>
  <si>
    <t>3750 Simpson Square</t>
  </si>
  <si>
    <t>PaulLCurtis@aol.com</t>
  </si>
  <si>
    <t>580-565-5337</t>
  </si>
  <si>
    <t>96-1971</t>
  </si>
  <si>
    <t>HENRY</t>
  </si>
  <si>
    <t>ROSENBAUM</t>
  </si>
  <si>
    <t>586 Caynor Circle</t>
  </si>
  <si>
    <t>Linden</t>
  </si>
  <si>
    <t>HenryCRosenbaum@gmail.com</t>
  </si>
  <si>
    <t>908-474-4556</t>
  </si>
  <si>
    <t>48-0389</t>
  </si>
  <si>
    <t>BROCK</t>
  </si>
  <si>
    <t>3374 Finwood Road</t>
  </si>
  <si>
    <t>RobertRBrock@gmail.com</t>
  </si>
  <si>
    <t>732-480-7525</t>
  </si>
  <si>
    <t>30-8425</t>
  </si>
  <si>
    <t>JANICE</t>
  </si>
  <si>
    <t>KROUT</t>
  </si>
  <si>
    <t>4966 Highland View Drive</t>
  </si>
  <si>
    <t>Roseville</t>
  </si>
  <si>
    <t>JaniceNKrout@hotmail.com</t>
  </si>
  <si>
    <t>916-640-6029</t>
  </si>
  <si>
    <t>52-8535</t>
  </si>
  <si>
    <t>PEARSON</t>
  </si>
  <si>
    <t>4041 Pallet Street</t>
  </si>
  <si>
    <t>Monsey</t>
  </si>
  <si>
    <t>MaryAPearson@hotmail.com</t>
  </si>
  <si>
    <t>914-324-6344</t>
  </si>
  <si>
    <t>86-3624</t>
  </si>
  <si>
    <t>ATKINSON</t>
  </si>
  <si>
    <t>4723 Rhode Island Avenue</t>
  </si>
  <si>
    <t>JosephCAtkinson@aol.com</t>
  </si>
  <si>
    <t>202-420-6111</t>
  </si>
  <si>
    <t>72-839</t>
  </si>
  <si>
    <t>LINDSEY</t>
  </si>
  <si>
    <t>3675 Jones Street</t>
  </si>
  <si>
    <t>LindseyRMartinez@gmail.com</t>
  </si>
  <si>
    <t>817-489-0531</t>
  </si>
  <si>
    <t>22-8995</t>
  </si>
  <si>
    <t>TYLER</t>
  </si>
  <si>
    <t>DEJESUS</t>
  </si>
  <si>
    <t>4128 Boone Crockett Lane</t>
  </si>
  <si>
    <t>TylerADejesus@gmail.com</t>
  </si>
  <si>
    <t>360-481-3112</t>
  </si>
  <si>
    <t>90-7327</t>
  </si>
  <si>
    <t>MELODY</t>
  </si>
  <si>
    <t>757 Scenic Way</t>
  </si>
  <si>
    <t>Latham</t>
  </si>
  <si>
    <t>MelodyMNelson@hotmail.com</t>
  </si>
  <si>
    <t>217-674-4591</t>
  </si>
  <si>
    <t>22-8985</t>
  </si>
  <si>
    <t>MADDEN</t>
  </si>
  <si>
    <t>4731 Murphy Court</t>
  </si>
  <si>
    <t>PaulaWMadden@gmail.com</t>
  </si>
  <si>
    <t>951-801-7659</t>
  </si>
  <si>
    <t>64-856</t>
  </si>
  <si>
    <t>WEBER</t>
  </si>
  <si>
    <t>385 Ward Road</t>
  </si>
  <si>
    <t>RobertDWeber@gmail.com</t>
  </si>
  <si>
    <t>914-937-4898</t>
  </si>
  <si>
    <t>14-923</t>
  </si>
  <si>
    <t>MONROE</t>
  </si>
  <si>
    <t>3535 McKinley Avenue</t>
  </si>
  <si>
    <t>MarkLMonroe@gmail.com</t>
  </si>
  <si>
    <t>303-848-9860</t>
  </si>
  <si>
    <t>39-271</t>
  </si>
  <si>
    <t>3643 Hinkle Deegan Lake Road</t>
  </si>
  <si>
    <t>Binghamton</t>
  </si>
  <si>
    <t>RoseCGlenn@aol.com</t>
  </si>
  <si>
    <t>607-210-4364</t>
  </si>
  <si>
    <t>62-4358</t>
  </si>
  <si>
    <t>SIDNEY</t>
  </si>
  <si>
    <t>4292 Tanglewood Road</t>
  </si>
  <si>
    <t>Jackson</t>
  </si>
  <si>
    <t>SidneyRWilliams@gmail.com</t>
  </si>
  <si>
    <t>662-990-9028</t>
  </si>
  <si>
    <t>49-304</t>
  </si>
  <si>
    <t>LOHR</t>
  </si>
  <si>
    <t>3016 Garfield Road</t>
  </si>
  <si>
    <t>New Windsor</t>
  </si>
  <si>
    <t>ScottJLohr@hotmail.com</t>
  </si>
  <si>
    <t>309-667-9596</t>
  </si>
  <si>
    <t>02-588</t>
  </si>
  <si>
    <t>LATONYA</t>
  </si>
  <si>
    <t>TAGGART</t>
  </si>
  <si>
    <t>3904 Park Boulevard</t>
  </si>
  <si>
    <t>Drakesville</t>
  </si>
  <si>
    <t>LatonyaBTaggart@aol.com</t>
  </si>
  <si>
    <t>641-722-2778</t>
  </si>
  <si>
    <t>78-2018</t>
  </si>
  <si>
    <t>WENDLING</t>
  </si>
  <si>
    <t>2626 Charmaine Lane</t>
  </si>
  <si>
    <t>Perryton</t>
  </si>
  <si>
    <t>MichaelJWendling@aol.com</t>
  </si>
  <si>
    <t>806-434-1502</t>
  </si>
  <si>
    <t>56-809</t>
  </si>
  <si>
    <t>BRISTER</t>
  </si>
  <si>
    <t>232 Hickory Lane</t>
  </si>
  <si>
    <t>Fort Washington</t>
  </si>
  <si>
    <t>DanielMBrister@hotmail.com</t>
  </si>
  <si>
    <t>202-470-8024</t>
  </si>
  <si>
    <t>92-266</t>
  </si>
  <si>
    <t>HORNING</t>
  </si>
  <si>
    <t>1086 Blue Spruce Lane</t>
  </si>
  <si>
    <t>Hanover</t>
  </si>
  <si>
    <t>MichaelNHorning@hotmail.com</t>
  </si>
  <si>
    <t>410-302-4255</t>
  </si>
  <si>
    <t>69-143</t>
  </si>
  <si>
    <t>EDITH</t>
  </si>
  <si>
    <t>REED</t>
  </si>
  <si>
    <t>841 Romines Mill Road</t>
  </si>
  <si>
    <t>EdithJReed@hotmail.com</t>
  </si>
  <si>
    <t>214-617-9083</t>
  </si>
  <si>
    <t>34-3018</t>
  </si>
  <si>
    <t>4515 Illinois Avenue</t>
  </si>
  <si>
    <t>VictorAJohnson@hotmail.com</t>
  </si>
  <si>
    <t>503-713-0992</t>
  </si>
  <si>
    <t>31-990</t>
  </si>
  <si>
    <t>LYDIA</t>
  </si>
  <si>
    <t>AMOROSO</t>
  </si>
  <si>
    <t>3013 White Pine Lane</t>
  </si>
  <si>
    <t>LydiaHAmoroso@gmail.com</t>
  </si>
  <si>
    <t>540-653-0178</t>
  </si>
  <si>
    <t>03-7118</t>
  </si>
  <si>
    <t>ASHLEY</t>
  </si>
  <si>
    <t>2835 Aspen Court</t>
  </si>
  <si>
    <t>AshleyDJohnson@hotmail.com</t>
  </si>
  <si>
    <t>617-392-2943</t>
  </si>
  <si>
    <t>01-5060</t>
  </si>
  <si>
    <t>ESTHER</t>
  </si>
  <si>
    <t>LORD</t>
  </si>
  <si>
    <t>657 Williams Avenue</t>
  </si>
  <si>
    <t>Frazier Park</t>
  </si>
  <si>
    <t>EstherLLord@gmail.com</t>
  </si>
  <si>
    <t>661-245-5261</t>
  </si>
  <si>
    <t>55-035</t>
  </si>
  <si>
    <t>1484 White Pine Lane</t>
  </si>
  <si>
    <t>Harrisonburg</t>
  </si>
  <si>
    <t>AmeliaTLane@aol.com</t>
  </si>
  <si>
    <t>540-689-1022</t>
  </si>
  <si>
    <t>01-9086</t>
  </si>
  <si>
    <t>KEEL</t>
  </si>
  <si>
    <t>3245 Harry Place</t>
  </si>
  <si>
    <t>RussellRKeel@hotmail.com</t>
  </si>
  <si>
    <t>704-770-4875</t>
  </si>
  <si>
    <t>91-8716</t>
  </si>
  <si>
    <t>SPARKS</t>
  </si>
  <si>
    <t>1564 Bel Meadow Drive</t>
  </si>
  <si>
    <t>RobertSSparks@hotmail.com</t>
  </si>
  <si>
    <t>909-309-5979</t>
  </si>
  <si>
    <t>96-7918</t>
  </si>
  <si>
    <t>FLINN</t>
  </si>
  <si>
    <t>706 Shadowmar Drive</t>
  </si>
  <si>
    <t>Metairie</t>
  </si>
  <si>
    <t>AndreaDFlinn@gmail.com</t>
  </si>
  <si>
    <t>504-832-3602</t>
  </si>
  <si>
    <t>01-800</t>
  </si>
  <si>
    <t>LOWMAN</t>
  </si>
  <si>
    <t>4715 Southside Lane</t>
  </si>
  <si>
    <t>ThomasSLowman@hotmail.com</t>
  </si>
  <si>
    <t>323-691-2424</t>
  </si>
  <si>
    <t>58-5735</t>
  </si>
  <si>
    <t>MIKI</t>
  </si>
  <si>
    <t>GRIES</t>
  </si>
  <si>
    <t>3504 Calvin Street</t>
  </si>
  <si>
    <t>MikiCGries@gmail.com</t>
  </si>
  <si>
    <t>443-383-8083</t>
  </si>
  <si>
    <t>98-8008</t>
  </si>
  <si>
    <t>FRANCES</t>
  </si>
  <si>
    <t>3784 Turkey Pen Road</t>
  </si>
  <si>
    <t>FrancesCKing@gmail.com</t>
  </si>
  <si>
    <t>917-278-4105</t>
  </si>
  <si>
    <t>24-8912</t>
  </si>
  <si>
    <t>GILBERTO</t>
  </si>
  <si>
    <t>LAU</t>
  </si>
  <si>
    <t>3459 Lighthouse Drive</t>
  </si>
  <si>
    <t>Branson</t>
  </si>
  <si>
    <t>GilbertoSLau@gmail.com</t>
  </si>
  <si>
    <t>417-280-1772</t>
  </si>
  <si>
    <t>64-935</t>
  </si>
  <si>
    <t>627 Locust View Drive</t>
  </si>
  <si>
    <t>AndrewLAtkinson@gmail.com</t>
  </si>
  <si>
    <t>415-936-3184</t>
  </si>
  <si>
    <t>60-767</t>
  </si>
  <si>
    <t>JEFFREY</t>
  </si>
  <si>
    <t>DUGGINS</t>
  </si>
  <si>
    <t>3871 College Avenue</t>
  </si>
  <si>
    <t>JeffreyJDuggins@hotmail.com</t>
  </si>
  <si>
    <t>937-413-2916</t>
  </si>
  <si>
    <t>68-271</t>
  </si>
  <si>
    <t>OLIVIA</t>
  </si>
  <si>
    <t>MUNSON</t>
  </si>
  <si>
    <t>3196 Charla Lane</t>
  </si>
  <si>
    <t>OliviaLMunson@gmail.com</t>
  </si>
  <si>
    <t>972-774-2663</t>
  </si>
  <si>
    <t>55-188</t>
  </si>
  <si>
    <t>2091 August Lane</t>
  </si>
  <si>
    <t>Alexandria</t>
  </si>
  <si>
    <t>AmyKCarter@gmail.com</t>
  </si>
  <si>
    <t>318-463-7717</t>
  </si>
  <si>
    <t>10-210</t>
  </si>
  <si>
    <t>COLDWELL</t>
  </si>
  <si>
    <t>2385 Clinton Street</t>
  </si>
  <si>
    <t>Searcy</t>
  </si>
  <si>
    <t>DianeJColdwell@aol.com</t>
  </si>
  <si>
    <t>501-278-7551</t>
  </si>
  <si>
    <t>70-449</t>
  </si>
  <si>
    <t>HAYWOOD</t>
  </si>
  <si>
    <t>ALBRITTON</t>
  </si>
  <si>
    <t>1778 Kincheloe Road</t>
  </si>
  <si>
    <t>Milwaukie</t>
  </si>
  <si>
    <t>HaywoodMAlbritton@aol.com</t>
  </si>
  <si>
    <t>503-513-3931</t>
  </si>
  <si>
    <t>61-2978</t>
  </si>
  <si>
    <t>DEAN</t>
  </si>
  <si>
    <t>DAY</t>
  </si>
  <si>
    <t>1037 Randall Drive</t>
  </si>
  <si>
    <t>DeanCDay@aol.com</t>
  </si>
  <si>
    <t>808-782-9339</t>
  </si>
  <si>
    <t>67-197</t>
  </si>
  <si>
    <t>WALLACE</t>
  </si>
  <si>
    <t>662 Parrish Avenue</t>
  </si>
  <si>
    <t>SusanRWallace@gmail.com</t>
  </si>
  <si>
    <t>831-218-2456</t>
  </si>
  <si>
    <t>01-807</t>
  </si>
  <si>
    <t>BRAWNER</t>
  </si>
  <si>
    <t>481 Five Points</t>
  </si>
  <si>
    <t>AnthonyDBrawner@aol.com</t>
  </si>
  <si>
    <t>443-227-9750</t>
  </si>
  <si>
    <t>80-0885</t>
  </si>
  <si>
    <t>MORROW</t>
  </si>
  <si>
    <t>2702 Chatham Way</t>
  </si>
  <si>
    <t>Beltsville</t>
  </si>
  <si>
    <t>JesseSMorrow@hotmail.com</t>
  </si>
  <si>
    <t>240-643-5792</t>
  </si>
  <si>
    <t>60-597</t>
  </si>
  <si>
    <t>STACY</t>
  </si>
  <si>
    <t>PETERSEN</t>
  </si>
  <si>
    <t>1887 Oak Lane</t>
  </si>
  <si>
    <t>Kansas City</t>
  </si>
  <si>
    <t>StacySPetersen@gmail.com</t>
  </si>
  <si>
    <t>660-797-8359</t>
  </si>
  <si>
    <t>20-6141</t>
  </si>
  <si>
    <t>NORRIS</t>
  </si>
  <si>
    <t>2832 Lincoln Drive</t>
  </si>
  <si>
    <t>Harrisburg</t>
  </si>
  <si>
    <t>BrendaLNorris@gmail.com</t>
  </si>
  <si>
    <t>717-575-6752</t>
  </si>
  <si>
    <t>07-8580</t>
  </si>
  <si>
    <t>2180 Paul Wayne Haggerty Road</t>
  </si>
  <si>
    <t>AmyGThomas@aol.com</t>
  </si>
  <si>
    <t>504-415-5456</t>
  </si>
  <si>
    <t>38-065</t>
  </si>
  <si>
    <t>VIRGINIA</t>
  </si>
  <si>
    <t>GIVENS</t>
  </si>
  <si>
    <t>3716 Fulton Street</t>
  </si>
  <si>
    <t>Princeton</t>
  </si>
  <si>
    <t>VirginiaMGivens@hotmail.com</t>
  </si>
  <si>
    <t>304-487-6096</t>
  </si>
  <si>
    <t>78-219</t>
  </si>
  <si>
    <t>BALLWEG</t>
  </si>
  <si>
    <t>3532 Round Table Drive</t>
  </si>
  <si>
    <t>LeroyJBallweg@aol.com</t>
  </si>
  <si>
    <t>513-793-4303</t>
  </si>
  <si>
    <t>88-5756</t>
  </si>
  <si>
    <t>SAMUEL</t>
  </si>
  <si>
    <t>1518 Pooh Bear Lane</t>
  </si>
  <si>
    <t>SamuelMRobinson@gmail.com</t>
  </si>
  <si>
    <t>864-621-2834</t>
  </si>
  <si>
    <t>03-272</t>
  </si>
  <si>
    <t>DEREK</t>
  </si>
  <si>
    <t>RIVERA</t>
  </si>
  <si>
    <t>2513 Maloy Court</t>
  </si>
  <si>
    <t>Wakefield</t>
  </si>
  <si>
    <t>DerekLRivera@hotmail.com</t>
  </si>
  <si>
    <t>785-461-6037</t>
  </si>
  <si>
    <t>26-014</t>
  </si>
  <si>
    <t>BOLING</t>
  </si>
  <si>
    <t>1423 Hillcrest Lane</t>
  </si>
  <si>
    <t>Irvine</t>
  </si>
  <si>
    <t>SusanABoling@hotmail.com</t>
  </si>
  <si>
    <t>949-929-5020</t>
  </si>
  <si>
    <t>03-594</t>
  </si>
  <si>
    <t>BAZAN</t>
  </si>
  <si>
    <t>1668 Winifred Way</t>
  </si>
  <si>
    <t>Lafayette</t>
  </si>
  <si>
    <t>KathyJBazan@gmail.com</t>
  </si>
  <si>
    <t>765-746-0191</t>
  </si>
  <si>
    <t>36-8075</t>
  </si>
  <si>
    <t>TARA</t>
  </si>
  <si>
    <t>EMBERTON</t>
  </si>
  <si>
    <t>3032 Anthony Avenue</t>
  </si>
  <si>
    <t>Nubia</t>
  </si>
  <si>
    <t>TaraTEmberton@gmail.com</t>
  </si>
  <si>
    <t>325-846-3787</t>
  </si>
  <si>
    <t>68-3622</t>
  </si>
  <si>
    <t>EARL</t>
  </si>
  <si>
    <t>AGUIRRE</t>
  </si>
  <si>
    <t>3747 McDowell Street</t>
  </si>
  <si>
    <t>EarlMAguirre@hotmail.com</t>
  </si>
  <si>
    <t>931-416-4171</t>
  </si>
  <si>
    <t>01-4076</t>
  </si>
  <si>
    <t>CLARENCE</t>
  </si>
  <si>
    <t>2276 Lowland Drive</t>
  </si>
  <si>
    <t>ClarenceAJoseph@gmail.com</t>
  </si>
  <si>
    <t>815-371-6613</t>
  </si>
  <si>
    <t>34-680</t>
  </si>
  <si>
    <t>TEDDY</t>
  </si>
  <si>
    <t>DISHMAN</t>
  </si>
  <si>
    <t>287 Margaret Street</t>
  </si>
  <si>
    <t>Sugar Land</t>
  </si>
  <si>
    <t>TeddyWDishman@aol.com</t>
  </si>
  <si>
    <t>713-902-5769</t>
  </si>
  <si>
    <t>46-9353</t>
  </si>
  <si>
    <t>JACOBSEN</t>
  </si>
  <si>
    <t>527 Kelly Street</t>
  </si>
  <si>
    <t>JuanGJacobsen@gmail.com</t>
  </si>
  <si>
    <t>704-908-1546</t>
  </si>
  <si>
    <t>01-3941</t>
  </si>
  <si>
    <t>YU</t>
  </si>
  <si>
    <t>2237 Elk Creek Road</t>
  </si>
  <si>
    <t>JamesJYu@aol.com</t>
  </si>
  <si>
    <t>770-522-3655</t>
  </si>
  <si>
    <t>28-480</t>
  </si>
  <si>
    <t>12 Canis Heights Drive</t>
  </si>
  <si>
    <t>CharlesRMarshall@hotmail.com</t>
  </si>
  <si>
    <t>213-617-3930</t>
  </si>
  <si>
    <t>DONALD</t>
  </si>
  <si>
    <t>1429 Ash Street</t>
  </si>
  <si>
    <t>Irving</t>
  </si>
  <si>
    <t>DonaldLMurray@hotmail.com</t>
  </si>
  <si>
    <t>972-871-3664</t>
  </si>
  <si>
    <t>07-025</t>
  </si>
  <si>
    <t>JESUSA</t>
  </si>
  <si>
    <t>LARSEN</t>
  </si>
  <si>
    <t>2252 Crim Lane</t>
  </si>
  <si>
    <t>Mechanicsburg</t>
  </si>
  <si>
    <t>JesusaFLarsen@gmail.com</t>
  </si>
  <si>
    <t>937-834-6456</t>
  </si>
  <si>
    <t>48-7067</t>
  </si>
  <si>
    <t>HOWARD</t>
  </si>
  <si>
    <t>SYKES</t>
  </si>
  <si>
    <t>3845 Swick Hill Street</t>
  </si>
  <si>
    <t>New Orleans</t>
  </si>
  <si>
    <t>HowardJSykes@gmail.com</t>
  </si>
  <si>
    <t>985-255-0725</t>
  </si>
  <si>
    <t>56-2096</t>
  </si>
  <si>
    <t>GUY</t>
  </si>
  <si>
    <t>LENT</t>
  </si>
  <si>
    <t>3898 Arron Smith Drive</t>
  </si>
  <si>
    <t>GuyDLent@hotmail.com</t>
  </si>
  <si>
    <t>808-397-5315</t>
  </si>
  <si>
    <t>01-889</t>
  </si>
  <si>
    <t>2270 Anthony Avenue</t>
  </si>
  <si>
    <t>Eldorado</t>
  </si>
  <si>
    <t>JohnSJacobs@hotmail.com</t>
  </si>
  <si>
    <t>325-853-1929</t>
  </si>
  <si>
    <t>60-7560</t>
  </si>
  <si>
    <t>3620 Sunny Glen Lane</t>
  </si>
  <si>
    <t>LindaRHarris@aol.com</t>
  </si>
  <si>
    <t>216-741-1378</t>
  </si>
  <si>
    <t>42-3187</t>
  </si>
  <si>
    <t>1515 Bird Spring Lane</t>
  </si>
  <si>
    <t>DavidJRobinson@aol.com</t>
  </si>
  <si>
    <t>281-587-3822</t>
  </si>
  <si>
    <t>10-7324</t>
  </si>
  <si>
    <t>LARRY</t>
  </si>
  <si>
    <t>HIGGIN</t>
  </si>
  <si>
    <t>3602 Keyser Ridge Road</t>
  </si>
  <si>
    <t>Archdale</t>
  </si>
  <si>
    <t>LarryGHiggin@hotmail.com</t>
  </si>
  <si>
    <t>336-434-5443</t>
  </si>
  <si>
    <t>01-1104</t>
  </si>
  <si>
    <t>BORDERS</t>
  </si>
  <si>
    <t>3103 Jerry Dove Drive</t>
  </si>
  <si>
    <t>Myrtle Beach</t>
  </si>
  <si>
    <t>MarySBorders@gmail.com</t>
  </si>
  <si>
    <t>843-424-8460</t>
  </si>
  <si>
    <t>85-9855</t>
  </si>
  <si>
    <t>STEPHANIE</t>
  </si>
  <si>
    <t>TIPLER</t>
  </si>
  <si>
    <t>1172 Marie Street</t>
  </si>
  <si>
    <t>StephanieCTipler@hotmail.com</t>
  </si>
  <si>
    <t>410-861-3215</t>
  </si>
  <si>
    <t>62-4098</t>
  </si>
  <si>
    <t>WELCH</t>
  </si>
  <si>
    <t>3019 Dale Avenue</t>
  </si>
  <si>
    <t>Kent</t>
  </si>
  <si>
    <t>DerekRWelch@hotmail.com</t>
  </si>
  <si>
    <t>253-852-4052</t>
  </si>
  <si>
    <t>42-284</t>
  </si>
  <si>
    <t>SCOTTY</t>
  </si>
  <si>
    <t>HORTON</t>
  </si>
  <si>
    <t>4751 Gordon Street</t>
  </si>
  <si>
    <t>Etiwanda</t>
  </si>
  <si>
    <t>ScottyJHorton@gmail.com</t>
  </si>
  <si>
    <t>909-463-0852</t>
  </si>
  <si>
    <t>71-298</t>
  </si>
  <si>
    <t>DIAZ</t>
  </si>
  <si>
    <t>2479 Turkey Pen Road</t>
  </si>
  <si>
    <t>LeeMDiaz@aol.com</t>
  </si>
  <si>
    <t>917-299-0981</t>
  </si>
  <si>
    <t>74-6769</t>
  </si>
  <si>
    <t>VELAZQUEZ</t>
  </si>
  <si>
    <t>4739 Tanglewood Road</t>
  </si>
  <si>
    <t>Saltillo</t>
  </si>
  <si>
    <t>BarbaraWVelazquez@gmail.com</t>
  </si>
  <si>
    <t>662-869-6312</t>
  </si>
  <si>
    <t>39-9306</t>
  </si>
  <si>
    <t>SARAH</t>
  </si>
  <si>
    <t>3648 Chenoweth Drive</t>
  </si>
  <si>
    <t>Clarksville</t>
  </si>
  <si>
    <t>SarahGJohnson@gmail.com</t>
  </si>
  <si>
    <t>931-503-2978</t>
  </si>
  <si>
    <t>56-790</t>
  </si>
  <si>
    <t>777 College View</t>
  </si>
  <si>
    <t>Troy</t>
  </si>
  <si>
    <t>CynthiaJKizer@gmail.com</t>
  </si>
  <si>
    <t>618-667-5060</t>
  </si>
  <si>
    <t>28-9452</t>
  </si>
  <si>
    <t>DAWSON</t>
  </si>
  <si>
    <t>2379 Lang Avenue</t>
  </si>
  <si>
    <t>Salt Lake City</t>
  </si>
  <si>
    <t>ChristopherCDawson@gmail.com</t>
  </si>
  <si>
    <t>435-938-4989</t>
  </si>
  <si>
    <t>48-3969</t>
  </si>
  <si>
    <t>1049 Prospect Street</t>
  </si>
  <si>
    <t>BryanFRobinson@aol.com</t>
  </si>
  <si>
    <t>856-678-5886</t>
  </si>
  <si>
    <t>06-905</t>
  </si>
  <si>
    <t>DUNSON</t>
  </si>
  <si>
    <t>3674 White Oak Drive</t>
  </si>
  <si>
    <t>PatrickCDunson@hotmail.com</t>
  </si>
  <si>
    <t>816-612-5450</t>
  </si>
  <si>
    <t>14-718</t>
  </si>
  <si>
    <t>GILMAN</t>
  </si>
  <si>
    <t>591 Brannon Street</t>
  </si>
  <si>
    <t>DavidJGilman@aol.com</t>
  </si>
  <si>
    <t>213-347-9293</t>
  </si>
  <si>
    <t>89-8017</t>
  </si>
  <si>
    <t>SAWYER</t>
  </si>
  <si>
    <t>1477 Morningview Lane</t>
  </si>
  <si>
    <t>RonaldJSawyer@aol.com</t>
  </si>
  <si>
    <t>646-238-5360</t>
  </si>
  <si>
    <t>84-265</t>
  </si>
  <si>
    <t>3294 Glenwood Avenue</t>
  </si>
  <si>
    <t>JosephBOliver@hotmail.com</t>
  </si>
  <si>
    <t>216-263-2475</t>
  </si>
  <si>
    <t>74-495</t>
  </si>
  <si>
    <t>WEIS</t>
  </si>
  <si>
    <t>509 Maloy Court</t>
  </si>
  <si>
    <t>Home</t>
  </si>
  <si>
    <t>CarlJWeis@aol.com</t>
  </si>
  <si>
    <t>785-382-4302</t>
  </si>
  <si>
    <t>56-6500</t>
  </si>
  <si>
    <t>NORMA</t>
  </si>
  <si>
    <t>FOLDEN</t>
  </si>
  <si>
    <t>1037 Edsel Road</t>
  </si>
  <si>
    <t>NormaIFolden@hotmail.com</t>
  </si>
  <si>
    <t>818-488-1368</t>
  </si>
  <si>
    <t>20-3929</t>
  </si>
  <si>
    <t>BLEVINS</t>
  </si>
  <si>
    <t>1804 Camel Back Road</t>
  </si>
  <si>
    <t>Tulsa</t>
  </si>
  <si>
    <t>DonaldABlevins@aol.com</t>
  </si>
  <si>
    <t>918-581-6967</t>
  </si>
  <si>
    <t>60-3494</t>
  </si>
  <si>
    <t>4565 Philadelphia Avenue</t>
  </si>
  <si>
    <t>SamAPerry@hotmail.com</t>
  </si>
  <si>
    <t>801-301-3595</t>
  </si>
  <si>
    <t>10-836</t>
  </si>
  <si>
    <t>COLEMAN</t>
  </si>
  <si>
    <t>2198 Pinchelone Street</t>
  </si>
  <si>
    <t>Norfolk</t>
  </si>
  <si>
    <t>FrancesSColeman@gmail.com</t>
  </si>
  <si>
    <t>757-371-8587</t>
  </si>
  <si>
    <t>03-114</t>
  </si>
  <si>
    <t>1202 Freed Drive</t>
  </si>
  <si>
    <t>Stockton</t>
  </si>
  <si>
    <t>DavidSWilliams@gmail.com</t>
  </si>
  <si>
    <t>209-774-2113</t>
  </si>
  <si>
    <t>36-861</t>
  </si>
  <si>
    <t>MADELINE</t>
  </si>
  <si>
    <t>HEADLEY</t>
  </si>
  <si>
    <t>844 Browning Lane</t>
  </si>
  <si>
    <t>New Berlin</t>
  </si>
  <si>
    <t>MadelineTHeadley@aol.com</t>
  </si>
  <si>
    <t>607-847-7803</t>
  </si>
  <si>
    <t>70-7789</t>
  </si>
  <si>
    <t>1032 Cecil Street</t>
  </si>
  <si>
    <t>GilbertEDawson@aol.com</t>
  </si>
  <si>
    <t>312-274-6550</t>
  </si>
  <si>
    <t>04-500</t>
  </si>
  <si>
    <t>BARBER</t>
  </si>
  <si>
    <t>591 Tavern Place</t>
  </si>
  <si>
    <t>Lakewood</t>
  </si>
  <si>
    <t>WilliamMBarber@aol.com</t>
  </si>
  <si>
    <t>303-986-6439</t>
  </si>
  <si>
    <t>77-4134</t>
  </si>
  <si>
    <t>LELAND</t>
  </si>
  <si>
    <t>2636 Broad Street</t>
  </si>
  <si>
    <t>LelandJLee@aol.com</t>
  </si>
  <si>
    <t>205-442-9042</t>
  </si>
  <si>
    <t>28-7956</t>
  </si>
  <si>
    <t>151 Emeral Dreams Drive</t>
  </si>
  <si>
    <t>La Salle</t>
  </si>
  <si>
    <t>TaylorMYoung@gmail.com</t>
  </si>
  <si>
    <t>815-224-1168</t>
  </si>
  <si>
    <t>26-0445</t>
  </si>
  <si>
    <t>DELGADO</t>
  </si>
  <si>
    <t>242 Byrd Lane</t>
  </si>
  <si>
    <t>Causey</t>
  </si>
  <si>
    <t>NM</t>
  </si>
  <si>
    <t>LucyDDelgado@aol.com</t>
  </si>
  <si>
    <t>505-273-1301</t>
  </si>
  <si>
    <t>47-5400</t>
  </si>
  <si>
    <t>TOM</t>
  </si>
  <si>
    <t>WEBB</t>
  </si>
  <si>
    <t>2451 Richison Drive</t>
  </si>
  <si>
    <t>Reserve</t>
  </si>
  <si>
    <t>TomDWebb@gmail.com</t>
  </si>
  <si>
    <t>406-286-3178</t>
  </si>
  <si>
    <t>05-084</t>
  </si>
  <si>
    <t>129 Benedum Drive</t>
  </si>
  <si>
    <t>FrankBOlson@hotmail.com</t>
  </si>
  <si>
    <t>845-367-9542</t>
  </si>
  <si>
    <t>09-370</t>
  </si>
  <si>
    <t>TONG</t>
  </si>
  <si>
    <t>4750 Cedarstone Drive</t>
  </si>
  <si>
    <t>KevinMTong@gmail.com</t>
  </si>
  <si>
    <t>419-407-5401</t>
  </si>
  <si>
    <t>36-6791</t>
  </si>
  <si>
    <t>CARPENTER</t>
  </si>
  <si>
    <t>912 Turkey Pen Lane</t>
  </si>
  <si>
    <t>Montgomery</t>
  </si>
  <si>
    <t>AmyJCarpenter@aol.com</t>
  </si>
  <si>
    <t>334-549-8128</t>
  </si>
  <si>
    <t>12-7013</t>
  </si>
  <si>
    <t>3989 Crummit Lane</t>
  </si>
  <si>
    <t>Johnston</t>
  </si>
  <si>
    <t>WilliamJHall@gmail.com</t>
  </si>
  <si>
    <t>401-925-8657</t>
  </si>
  <si>
    <t>46-248</t>
  </si>
  <si>
    <t>MULLEN</t>
  </si>
  <si>
    <t>2953 Coventry Court</t>
  </si>
  <si>
    <t>Biloxi</t>
  </si>
  <si>
    <t>KevinBMullen@hotmail.com</t>
  </si>
  <si>
    <t>228-222-3010</t>
  </si>
  <si>
    <t>57-1488</t>
  </si>
  <si>
    <t>ARTHUR</t>
  </si>
  <si>
    <t>PHARRIS</t>
  </si>
  <si>
    <t>1324 Roosevelt Road</t>
  </si>
  <si>
    <t>Wichita</t>
  </si>
  <si>
    <t>ArthurJPharris@aol.com</t>
  </si>
  <si>
    <t>620-307-0819</t>
  </si>
  <si>
    <t>19-2255</t>
  </si>
  <si>
    <t>WAYNE</t>
  </si>
  <si>
    <t>DRAY</t>
  </si>
  <si>
    <t>3578 Highland View Drive</t>
  </si>
  <si>
    <t>Elk Grove</t>
  </si>
  <si>
    <t>WayneRDray@aol.com</t>
  </si>
  <si>
    <t>916-688-8108</t>
  </si>
  <si>
    <t>50-677</t>
  </si>
  <si>
    <t>CHANCE</t>
  </si>
  <si>
    <t>CRUMP</t>
  </si>
  <si>
    <t>762 Sarah Drive</t>
  </si>
  <si>
    <t>ChanceSCrump@hotmail.com</t>
  </si>
  <si>
    <t>337-503-6181</t>
  </si>
  <si>
    <t>18-1426</t>
  </si>
  <si>
    <t>ROSS</t>
  </si>
  <si>
    <t>1190 Hog Camp Road</t>
  </si>
  <si>
    <t>JulieCRoss@hotmail.com</t>
  </si>
  <si>
    <t>708-435-1491</t>
  </si>
  <si>
    <t>92-4804</t>
  </si>
  <si>
    <t>STACEY</t>
  </si>
  <si>
    <t>HAYNES</t>
  </si>
  <si>
    <t>3039 Briarwood Road</t>
  </si>
  <si>
    <t>Arma</t>
  </si>
  <si>
    <t>StaceyLHaynes@gmail.com</t>
  </si>
  <si>
    <t>417-769-1953</t>
  </si>
  <si>
    <t>92-7444</t>
  </si>
  <si>
    <t>LUCILLE</t>
  </si>
  <si>
    <t>MOSS</t>
  </si>
  <si>
    <t>1929 Beechwood Drive</t>
  </si>
  <si>
    <t>LucilleRMoss@hotmail.com</t>
  </si>
  <si>
    <t>410-972-3074</t>
  </si>
  <si>
    <t>96-5196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</si>
</sst>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6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01"/>
  <sheetViews>
    <sheetView tabSelected="1" topLeftCell="M1" workbookViewId="0">
      <selection activeCell="R2" sqref="R2"/>
    </sheetView>
  </sheetViews>
  <sheetFormatPr defaultRowHeight="15"/>
  <cols>
    <col min="1" max="2" width="15.28515625" customWidth="1"/>
    <col min="3" max="3" width="7.28515625" customWidth="1"/>
    <col min="4" max="5" width="14.5703125" customWidth="1"/>
    <col min="6" max="9" width="23.140625" customWidth="1"/>
    <col min="10" max="10" width="11.28515625" customWidth="1"/>
    <col min="11" max="11" width="25.42578125" customWidth="1"/>
    <col min="12" max="12" width="15.42578125" customWidth="1"/>
    <col min="14" max="15" width="11.5703125" customWidth="1"/>
    <col min="16" max="16" width="40.5703125" customWidth="1"/>
    <col min="17" max="19" width="35.85546875" customWidth="1"/>
    <col min="20" max="20" width="14.5703125" customWidth="1"/>
    <col min="21" max="21" width="27.42578125" customWidth="1"/>
    <col min="22" max="29" width="15.7109375" customWidth="1"/>
    <col min="30" max="31" width="17.85546875" style="3" customWidth="1"/>
  </cols>
  <sheetData>
    <row r="1" spans="1:31" ht="4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/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/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4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2" t="s">
        <v>27</v>
      </c>
      <c r="AE1" s="2" t="s">
        <v>28</v>
      </c>
    </row>
    <row r="2" spans="1:31">
      <c r="A2" t="s">
        <v>29</v>
      </c>
      <c r="B2" t="str">
        <f>TRIM(PROPER(A2))</f>
        <v>Jennifer</v>
      </c>
      <c r="C2" t="s">
        <v>30</v>
      </c>
      <c r="D2" t="s">
        <v>31</v>
      </c>
      <c r="E2" t="str">
        <f>TRIM(PROPER(D2))</f>
        <v>Mcgrath</v>
      </c>
      <c r="F2" t="str">
        <f>A2&amp;""&amp;D2</f>
        <v>JENNIFER MCGRATH</v>
      </c>
      <c r="G2" t="str">
        <f>CONCATENATE(A2,D2)</f>
        <v>JENNIFER MCGRATH</v>
      </c>
      <c r="H2" t="str">
        <f>LEFT(A2,3)&amp;" "&amp;D2</f>
        <v>JEN MCGRATH</v>
      </c>
      <c r="I2" t="str">
        <f>LEFT(A2,3)&amp;"."&amp;LEFT(D2,1)</f>
        <v>JEN.M</v>
      </c>
      <c r="J2" t="s">
        <v>32</v>
      </c>
      <c r="K2" t="s">
        <v>33</v>
      </c>
      <c r="L2" t="s">
        <v>34</v>
      </c>
      <c r="M2" t="s">
        <v>35</v>
      </c>
      <c r="N2">
        <v>62031</v>
      </c>
      <c r="O2" t="str">
        <f>IF(LEN(N2)=5,TEXT(N2,"#####"),IF(LEN(N2)=4,TEXT(N2,"0####")))</f>
        <v>62031</v>
      </c>
      <c r="P2" t="str">
        <f t="shared" ref="P2:P65" si="0">K2&amp;", "&amp;L2&amp;", "&amp;M2&amp;", "&amp;N2</f>
        <v>985 Eagle Street, Fieldon, IL, 62031</v>
      </c>
      <c r="Q2" t="s">
        <v>36</v>
      </c>
      <c r="R2" t="str">
        <f>LEFT(Q2,SEARCH("@",Q2)-1)</f>
        <v>JenniferJMcGrath</v>
      </c>
      <c r="S2" t="str">
        <f>RIGHT(Q2,LEN(Q2)-SEARCH("@",Q2))</f>
        <v>gmail.com</v>
      </c>
      <c r="T2" t="str">
        <f>IF(ISNUMBER(SEARCH("gmail",Q2)),"gmail",IF(ISNUMBER(SEARCH("aol",Q2)),"aol",IF(ISNUMBER(SEARCH("hotmail",Q2)),"hotmail","other")))</f>
        <v>gmail</v>
      </c>
      <c r="U2" t="str">
        <f>LEFT(Q2,SEARCH("@",Q2)-1)</f>
        <v>JenniferJMcGrath</v>
      </c>
      <c r="V2" t="s">
        <v>37</v>
      </c>
      <c r="W2" t="str">
        <f>LEFT(V2,4)</f>
        <v>618-</v>
      </c>
      <c r="X2" t="str">
        <f>MID(V2,5,3)</f>
        <v>376</v>
      </c>
      <c r="Y2" t="str">
        <f>RIGHT(V2,5)</f>
        <v>-3064</v>
      </c>
      <c r="Z2" t="str">
        <f>SUBSTITUTE(V2,"-","|",2)</f>
        <v>618-376|3064</v>
      </c>
      <c r="AA2" t="str">
        <f>LEFT(V2,3)</f>
        <v>618</v>
      </c>
      <c r="AB2" t="str">
        <f>MID(V2,5,3)</f>
        <v>376</v>
      </c>
      <c r="AC2" t="str">
        <f>RIGHT(V2,4)</f>
        <v>3064</v>
      </c>
      <c r="AD2" s="3" t="s">
        <v>38</v>
      </c>
      <c r="AE2" s="3" t="str">
        <f>RIGHT(AD2,LEN(AD2)-SEARCH("-",AD2))</f>
        <v>158</v>
      </c>
    </row>
    <row r="3" spans="1:31">
      <c r="A3" t="s">
        <v>39</v>
      </c>
      <c r="B3" t="str">
        <f t="shared" ref="B3:B66" si="1">TRIM(PROPER(A3))</f>
        <v>Chad</v>
      </c>
      <c r="C3" t="s">
        <v>40</v>
      </c>
      <c r="D3" t="s">
        <v>41</v>
      </c>
      <c r="E3" t="str">
        <f t="shared" ref="E3:E66" si="2">TRIM(PROPER(D3))</f>
        <v>Lewis</v>
      </c>
      <c r="F3" t="str">
        <f t="shared" ref="F3:F66" si="3">A3&amp;""&amp;D3</f>
        <v xml:space="preserve">CHADLEWIS </v>
      </c>
      <c r="G3" t="str">
        <f t="shared" ref="G3:G66" si="4">CONCATENATE(A3,D3)</f>
        <v xml:space="preserve">CHADLEWIS </v>
      </c>
      <c r="H3" t="str">
        <f t="shared" ref="H3:H66" si="5">LEFT(A3,3)&amp;" "&amp;D3</f>
        <v xml:space="preserve">CHA LEWIS </v>
      </c>
      <c r="I3" t="str">
        <f t="shared" ref="I3:I66" si="6">LEFT(A3,3)&amp;"."&amp;LEFT(D3,1)</f>
        <v>CHA.L</v>
      </c>
      <c r="J3" t="s">
        <v>42</v>
      </c>
      <c r="K3" t="s">
        <v>43</v>
      </c>
      <c r="L3" t="s">
        <v>44</v>
      </c>
      <c r="M3" t="s">
        <v>45</v>
      </c>
      <c r="N3">
        <v>95936</v>
      </c>
      <c r="O3" t="str">
        <f t="shared" ref="O3:O66" si="7">IF(LEN(N3)=5,TEXT(N3,"#####"),IF(LEN(N3)=4,TEXT(N3,"0####")))</f>
        <v>95936</v>
      </c>
      <c r="P3" t="str">
        <f t="shared" si="0"/>
        <v>267 Francis Mine, Downieville, CA, 95936</v>
      </c>
      <c r="Q3" t="s">
        <v>46</v>
      </c>
      <c r="R3" t="str">
        <f t="shared" ref="R3:R66" si="8">LEFT(Q3,SEARCH("@",Q3)-1)</f>
        <v>ChadSLewis</v>
      </c>
      <c r="S3" t="str">
        <f t="shared" ref="S3:S66" si="9">RIGHT(Q3,LEN(Q3)-SEARCH("@",Q3))</f>
        <v>aol.com</v>
      </c>
      <c r="T3" t="str">
        <f t="shared" ref="T3:T66" si="10">IF(ISNUMBER(SEARCH("gmail",Q3)),"gmail",IF(ISNUMBER(SEARCH("aol",Q3)),"aol",IF(ISNUMBER(SEARCH("hotmail",Q3)),"hotmail","other")))</f>
        <v>aol</v>
      </c>
      <c r="U3" t="str">
        <f t="shared" ref="U3:U66" si="11">LEFT(Q3,SEARCH("@",Q3)-1)</f>
        <v>ChadSLewis</v>
      </c>
      <c r="V3" t="s">
        <v>47</v>
      </c>
      <c r="W3" t="str">
        <f t="shared" ref="W3:W66" si="12">LEFT(V3,4)</f>
        <v>530-</v>
      </c>
      <c r="X3" t="str">
        <f t="shared" ref="X3:X66" si="13">MID(V3,5,3)</f>
        <v>289</v>
      </c>
      <c r="Y3" t="str">
        <f t="shared" ref="Y3:Y66" si="14">RIGHT(V3,5)</f>
        <v>-3807</v>
      </c>
      <c r="Z3" t="str">
        <f>SUBSTITUTE(V3,"-","|",2)</f>
        <v>530-289|3807</v>
      </c>
      <c r="AA3" t="str">
        <f>LEFT(V3,3)</f>
        <v>530</v>
      </c>
      <c r="AB3" t="str">
        <f>MID(V3,5,3)</f>
        <v>289</v>
      </c>
      <c r="AC3" t="str">
        <f>RIGHT(V3,4)</f>
        <v>3807</v>
      </c>
      <c r="AD3" s="3" t="s">
        <v>48</v>
      </c>
      <c r="AE3" s="3" t="str">
        <f t="shared" ref="AE3:AE66" si="15">RIGHT(AD3,LEN(AD3)-SEARCH("-",AD3))</f>
        <v>851</v>
      </c>
    </row>
    <row r="4" spans="1:31">
      <c r="A4" t="s">
        <v>49</v>
      </c>
      <c r="B4" t="str">
        <f t="shared" si="1"/>
        <v>Susan</v>
      </c>
      <c r="C4" t="s">
        <v>40</v>
      </c>
      <c r="D4" t="s">
        <v>50</v>
      </c>
      <c r="E4" t="str">
        <f t="shared" si="2"/>
        <v>Rodriguez</v>
      </c>
      <c r="F4" t="str">
        <f t="shared" si="3"/>
        <v>SUSANRODRIGUEZ</v>
      </c>
      <c r="G4" t="str">
        <f t="shared" si="4"/>
        <v>SUSANRODRIGUEZ</v>
      </c>
      <c r="H4" t="str">
        <f t="shared" si="5"/>
        <v>SUS RODRIGUEZ</v>
      </c>
      <c r="I4" t="str">
        <f t="shared" si="6"/>
        <v>SUS.R</v>
      </c>
      <c r="J4" t="s">
        <v>32</v>
      </c>
      <c r="K4" t="s">
        <v>51</v>
      </c>
      <c r="L4" t="s">
        <v>52</v>
      </c>
      <c r="M4" t="s">
        <v>53</v>
      </c>
      <c r="N4">
        <v>7040</v>
      </c>
      <c r="O4" t="str">
        <f t="shared" si="7"/>
        <v>07040</v>
      </c>
      <c r="P4" t="str">
        <f t="shared" si="0"/>
        <v>4620 Williams Mine Road, Maplewood, NJ, 7040</v>
      </c>
      <c r="Q4" t="s">
        <v>54</v>
      </c>
      <c r="R4" t="str">
        <f t="shared" si="8"/>
        <v>SusanSRodriguez</v>
      </c>
      <c r="S4" t="str">
        <f t="shared" si="9"/>
        <v>hotmail.com</v>
      </c>
      <c r="T4" t="str">
        <f t="shared" si="10"/>
        <v>hotmail</v>
      </c>
      <c r="U4" t="str">
        <f t="shared" si="11"/>
        <v>SusanSRodriguez</v>
      </c>
      <c r="V4" t="s">
        <v>55</v>
      </c>
      <c r="W4" t="str">
        <f t="shared" si="12"/>
        <v>908-</v>
      </c>
      <c r="X4" t="str">
        <f t="shared" si="13"/>
        <v>264</v>
      </c>
      <c r="Y4" t="str">
        <f t="shared" si="14"/>
        <v>-1670</v>
      </c>
      <c r="Z4" t="str">
        <f>SUBSTITUTE(V4,"-","|",2)</f>
        <v>908-264|1670</v>
      </c>
      <c r="AA4" t="str">
        <f>LEFT(V4,3)</f>
        <v>908</v>
      </c>
      <c r="AB4" t="str">
        <f>MID(V4,5,3)</f>
        <v>264</v>
      </c>
      <c r="AC4" t="str">
        <f>RIGHT(V4,4)</f>
        <v>1670</v>
      </c>
      <c r="AD4" s="3" t="s">
        <v>56</v>
      </c>
      <c r="AE4" s="3" t="str">
        <f t="shared" si="15"/>
        <v>5370</v>
      </c>
    </row>
    <row r="5" spans="1:31">
      <c r="A5" t="s">
        <v>57</v>
      </c>
      <c r="B5" t="str">
        <f t="shared" si="1"/>
        <v>Wayne</v>
      </c>
      <c r="C5" t="s">
        <v>58</v>
      </c>
      <c r="D5" t="s">
        <v>59</v>
      </c>
      <c r="E5" t="str">
        <f t="shared" si="2"/>
        <v>Nielson</v>
      </c>
      <c r="F5" t="str">
        <f t="shared" si="3"/>
        <v>WAYNE NIELSON</v>
      </c>
      <c r="G5" t="str">
        <f t="shared" si="4"/>
        <v>WAYNE NIELSON</v>
      </c>
      <c r="H5" t="str">
        <f t="shared" si="5"/>
        <v>WAY NIELSON</v>
      </c>
      <c r="I5" t="str">
        <f t="shared" si="6"/>
        <v>WAY.N</v>
      </c>
      <c r="J5" t="s">
        <v>42</v>
      </c>
      <c r="K5" t="s">
        <v>60</v>
      </c>
      <c r="L5" t="s">
        <v>61</v>
      </c>
      <c r="M5" t="s">
        <v>62</v>
      </c>
      <c r="N5">
        <v>22448</v>
      </c>
      <c r="O5" t="str">
        <f t="shared" si="7"/>
        <v>22448</v>
      </c>
      <c r="P5" t="str">
        <f t="shared" si="0"/>
        <v>1829 White Pine Lane, Dahlgren, VA, 22448</v>
      </c>
      <c r="Q5" t="s">
        <v>63</v>
      </c>
      <c r="R5" t="str">
        <f t="shared" si="8"/>
        <v>WayneMNielson</v>
      </c>
      <c r="S5" t="str">
        <f t="shared" si="9"/>
        <v>aol.com</v>
      </c>
      <c r="T5" t="str">
        <f t="shared" si="10"/>
        <v>aol</v>
      </c>
      <c r="U5" t="str">
        <f t="shared" si="11"/>
        <v>WayneMNielson</v>
      </c>
      <c r="V5" t="s">
        <v>64</v>
      </c>
      <c r="W5" t="str">
        <f t="shared" si="12"/>
        <v>540-</v>
      </c>
      <c r="X5" t="str">
        <f t="shared" si="13"/>
        <v>644</v>
      </c>
      <c r="Y5" t="str">
        <f t="shared" si="14"/>
        <v>-7658</v>
      </c>
      <c r="Z5" t="str">
        <f>SUBSTITUTE(V5,"-","|",2)</f>
        <v>540-644|7658</v>
      </c>
      <c r="AA5" t="str">
        <f>LEFT(V5,3)</f>
        <v>540</v>
      </c>
      <c r="AB5" t="str">
        <f>MID(V5,5,3)</f>
        <v>644</v>
      </c>
      <c r="AC5" t="str">
        <f>RIGHT(V5,4)</f>
        <v>7658</v>
      </c>
      <c r="AD5" s="3" t="s">
        <v>65</v>
      </c>
      <c r="AE5" s="3" t="str">
        <f t="shared" si="15"/>
        <v>1254</v>
      </c>
    </row>
    <row r="6" spans="1:31">
      <c r="A6" t="s">
        <v>66</v>
      </c>
      <c r="B6" t="str">
        <f t="shared" si="1"/>
        <v>John</v>
      </c>
      <c r="C6" t="s">
        <v>67</v>
      </c>
      <c r="D6" t="s">
        <v>68</v>
      </c>
      <c r="E6" t="str">
        <f t="shared" si="2"/>
        <v>Depaul</v>
      </c>
      <c r="F6" t="str">
        <f t="shared" si="3"/>
        <v xml:space="preserve">JOHNDEPAUL </v>
      </c>
      <c r="G6" t="str">
        <f t="shared" si="4"/>
        <v xml:space="preserve">JOHNDEPAUL </v>
      </c>
      <c r="H6" t="str">
        <f t="shared" si="5"/>
        <v xml:space="preserve">JOH DEPAUL </v>
      </c>
      <c r="I6" t="str">
        <f t="shared" si="6"/>
        <v>JOH.D</v>
      </c>
      <c r="J6" t="s">
        <v>42</v>
      </c>
      <c r="K6" t="s">
        <v>69</v>
      </c>
      <c r="L6" t="s">
        <v>70</v>
      </c>
      <c r="M6" t="s">
        <v>71</v>
      </c>
      <c r="N6">
        <v>70815</v>
      </c>
      <c r="O6" t="str">
        <f t="shared" si="7"/>
        <v>70815</v>
      </c>
      <c r="P6" t="str">
        <f t="shared" si="0"/>
        <v>1165 Victoria Street, Baton Rouge, LA, 70815</v>
      </c>
      <c r="Q6" t="s">
        <v>72</v>
      </c>
      <c r="R6" t="str">
        <f t="shared" si="8"/>
        <v>JohnDDepaul</v>
      </c>
      <c r="S6" t="str">
        <f t="shared" si="9"/>
        <v>gmail.com</v>
      </c>
      <c r="T6" t="str">
        <f t="shared" si="10"/>
        <v>gmail</v>
      </c>
      <c r="U6" t="str">
        <f t="shared" si="11"/>
        <v>JohnDDepaul</v>
      </c>
      <c r="V6" t="s">
        <v>73</v>
      </c>
      <c r="W6" t="str">
        <f t="shared" si="12"/>
        <v>225-</v>
      </c>
      <c r="X6" t="str">
        <f t="shared" si="13"/>
        <v>274</v>
      </c>
      <c r="Y6" t="str">
        <f t="shared" si="14"/>
        <v>-4802</v>
      </c>
      <c r="Z6" t="str">
        <f>SUBSTITUTE(V6,"-","|",2)</f>
        <v>225-274|4802</v>
      </c>
      <c r="AA6" t="str">
        <f>LEFT(V6,3)</f>
        <v>225</v>
      </c>
      <c r="AB6" t="str">
        <f>MID(V6,5,3)</f>
        <v>274</v>
      </c>
      <c r="AC6" t="str">
        <f>RIGHT(V6,4)</f>
        <v>4802</v>
      </c>
      <c r="AD6" s="3" t="s">
        <v>74</v>
      </c>
      <c r="AE6" s="3" t="str">
        <f t="shared" si="15"/>
        <v>1343</v>
      </c>
    </row>
    <row r="7" spans="1:31">
      <c r="A7" t="s">
        <v>75</v>
      </c>
      <c r="B7" t="str">
        <f t="shared" si="1"/>
        <v>Joseph</v>
      </c>
      <c r="C7" t="s">
        <v>30</v>
      </c>
      <c r="D7" t="s">
        <v>76</v>
      </c>
      <c r="E7" t="str">
        <f t="shared" si="2"/>
        <v>Martinez</v>
      </c>
      <c r="F7" t="str">
        <f t="shared" si="3"/>
        <v>JOSEPHMARTINEZ</v>
      </c>
      <c r="G7" t="str">
        <f t="shared" si="4"/>
        <v>JOSEPHMARTINEZ</v>
      </c>
      <c r="H7" t="str">
        <f t="shared" si="5"/>
        <v>JOS MARTINEZ</v>
      </c>
      <c r="I7" t="str">
        <f t="shared" si="6"/>
        <v>JOS.M</v>
      </c>
      <c r="J7" t="s">
        <v>42</v>
      </c>
      <c r="K7" t="s">
        <v>77</v>
      </c>
      <c r="L7" t="s">
        <v>78</v>
      </c>
      <c r="M7" t="s">
        <v>79</v>
      </c>
      <c r="N7">
        <v>97205</v>
      </c>
      <c r="O7" t="str">
        <f t="shared" si="7"/>
        <v>97205</v>
      </c>
      <c r="P7" t="str">
        <f t="shared" si="0"/>
        <v>3866 Mattson Street, Portland, OR, 97205</v>
      </c>
      <c r="Q7" t="s">
        <v>80</v>
      </c>
      <c r="R7" t="str">
        <f t="shared" si="8"/>
        <v>JosephJMartinez</v>
      </c>
      <c r="S7" t="str">
        <f t="shared" si="9"/>
        <v>aol.com</v>
      </c>
      <c r="T7" t="str">
        <f t="shared" si="10"/>
        <v>aol</v>
      </c>
      <c r="U7" t="str">
        <f t="shared" si="11"/>
        <v>JosephJMartinez</v>
      </c>
      <c r="V7" t="s">
        <v>81</v>
      </c>
      <c r="W7" t="str">
        <f t="shared" si="12"/>
        <v>503-</v>
      </c>
      <c r="X7" t="str">
        <f t="shared" si="13"/>
        <v>402</v>
      </c>
      <c r="Y7" t="str">
        <f t="shared" si="14"/>
        <v>-2075</v>
      </c>
      <c r="Z7" t="str">
        <f>SUBSTITUTE(V7,"-","|",2)</f>
        <v>503-402|2075</v>
      </c>
      <c r="AA7" t="str">
        <f>LEFT(V7,3)</f>
        <v>503</v>
      </c>
      <c r="AB7" t="str">
        <f>MID(V7,5,3)</f>
        <v>402</v>
      </c>
      <c r="AC7" t="str">
        <f>RIGHT(V7,4)</f>
        <v>2075</v>
      </c>
      <c r="AD7" s="3" t="s">
        <v>82</v>
      </c>
      <c r="AE7" s="3" t="str">
        <f t="shared" si="15"/>
        <v>8581</v>
      </c>
    </row>
    <row r="8" spans="1:31">
      <c r="A8" t="s">
        <v>83</v>
      </c>
      <c r="B8" t="str">
        <f t="shared" si="1"/>
        <v>Diane</v>
      </c>
      <c r="C8" t="s">
        <v>84</v>
      </c>
      <c r="D8" t="s">
        <v>85</v>
      </c>
      <c r="E8" t="str">
        <f t="shared" si="2"/>
        <v>Henry</v>
      </c>
      <c r="F8" t="str">
        <f t="shared" si="3"/>
        <v xml:space="preserve">DIANEHENRY </v>
      </c>
      <c r="G8" t="str">
        <f t="shared" si="4"/>
        <v xml:space="preserve">DIANEHENRY </v>
      </c>
      <c r="H8" t="str">
        <f t="shared" si="5"/>
        <v xml:space="preserve">DIA HENRY </v>
      </c>
      <c r="I8" t="str">
        <f t="shared" si="6"/>
        <v>DIA.H</v>
      </c>
      <c r="J8" t="s">
        <v>32</v>
      </c>
      <c r="K8" t="s">
        <v>86</v>
      </c>
      <c r="L8" t="s">
        <v>87</v>
      </c>
      <c r="M8" t="s">
        <v>88</v>
      </c>
      <c r="N8">
        <v>78749</v>
      </c>
      <c r="O8" t="str">
        <f t="shared" si="7"/>
        <v>78749</v>
      </c>
      <c r="P8" t="str">
        <f t="shared" si="0"/>
        <v>3902 Valley Lane, Austin, TX, 78749</v>
      </c>
      <c r="Q8" t="s">
        <v>89</v>
      </c>
      <c r="R8" t="str">
        <f t="shared" si="8"/>
        <v>DianeKHenry</v>
      </c>
      <c r="S8" t="str">
        <f t="shared" si="9"/>
        <v>gmail.com</v>
      </c>
      <c r="T8" t="str">
        <f t="shared" si="10"/>
        <v>gmail</v>
      </c>
      <c r="U8" t="str">
        <f t="shared" si="11"/>
        <v>DianeKHenry</v>
      </c>
      <c r="V8" t="s">
        <v>90</v>
      </c>
      <c r="W8" t="str">
        <f t="shared" si="12"/>
        <v>512-</v>
      </c>
      <c r="X8" t="str">
        <f t="shared" si="13"/>
        <v>633</v>
      </c>
      <c r="Y8" t="str">
        <f t="shared" si="14"/>
        <v>-7667</v>
      </c>
      <c r="Z8" t="str">
        <f>SUBSTITUTE(V8,"-","|",2)</f>
        <v>512-633|7667</v>
      </c>
      <c r="AA8" t="str">
        <f>LEFT(V8,3)</f>
        <v>512</v>
      </c>
      <c r="AB8" t="str">
        <f>MID(V8,5,3)</f>
        <v>633</v>
      </c>
      <c r="AC8" t="str">
        <f>RIGHT(V8,4)</f>
        <v>7667</v>
      </c>
      <c r="AD8" s="3" t="s">
        <v>91</v>
      </c>
      <c r="AE8" s="3" t="str">
        <f t="shared" si="15"/>
        <v>7264</v>
      </c>
    </row>
    <row r="9" spans="1:31">
      <c r="A9" t="s">
        <v>92</v>
      </c>
      <c r="B9" t="str">
        <f t="shared" si="1"/>
        <v>Veronica</v>
      </c>
      <c r="C9" t="s">
        <v>58</v>
      </c>
      <c r="D9" t="s">
        <v>93</v>
      </c>
      <c r="E9" t="str">
        <f t="shared" si="2"/>
        <v>Comerford</v>
      </c>
      <c r="F9" t="str">
        <f t="shared" si="3"/>
        <v>VERONICACOMERFORD</v>
      </c>
      <c r="G9" t="str">
        <f t="shared" si="4"/>
        <v>VERONICACOMERFORD</v>
      </c>
      <c r="H9" t="str">
        <f t="shared" si="5"/>
        <v>VER COMERFORD</v>
      </c>
      <c r="I9" t="str">
        <f t="shared" si="6"/>
        <v>VER.C</v>
      </c>
      <c r="J9" t="s">
        <v>32</v>
      </c>
      <c r="K9" t="s">
        <v>94</v>
      </c>
      <c r="L9" t="s">
        <v>95</v>
      </c>
      <c r="M9" t="s">
        <v>96</v>
      </c>
      <c r="N9">
        <v>36083</v>
      </c>
      <c r="O9" t="str">
        <f t="shared" si="7"/>
        <v>36083</v>
      </c>
      <c r="P9" t="str">
        <f t="shared" si="0"/>
        <v>3932 Franklin Street, Tuskegee, AL, 36083</v>
      </c>
      <c r="Q9" t="s">
        <v>97</v>
      </c>
      <c r="R9" t="str">
        <f t="shared" si="8"/>
        <v>VeronicaMComerford</v>
      </c>
      <c r="S9" t="str">
        <f t="shared" si="9"/>
        <v>gmail.com</v>
      </c>
      <c r="T9" t="str">
        <f t="shared" si="10"/>
        <v>gmail</v>
      </c>
      <c r="U9" t="str">
        <f t="shared" si="11"/>
        <v>VeronicaMComerford</v>
      </c>
      <c r="V9" t="s">
        <v>98</v>
      </c>
      <c r="W9" t="str">
        <f t="shared" si="12"/>
        <v>334-</v>
      </c>
      <c r="X9" t="str">
        <f t="shared" si="13"/>
        <v>725</v>
      </c>
      <c r="Y9" t="str">
        <f t="shared" si="14"/>
        <v>-7343</v>
      </c>
      <c r="Z9" t="str">
        <f>SUBSTITUTE(V9,"-","|",2)</f>
        <v>334-725|7343</v>
      </c>
      <c r="AA9" t="str">
        <f>LEFT(V9,3)</f>
        <v>334</v>
      </c>
      <c r="AB9" t="str">
        <f>MID(V9,5,3)</f>
        <v>725</v>
      </c>
      <c r="AC9" t="str">
        <f>RIGHT(V9,4)</f>
        <v>7343</v>
      </c>
      <c r="AD9" s="3" t="s">
        <v>99</v>
      </c>
      <c r="AE9" s="3" t="str">
        <f t="shared" si="15"/>
        <v>9897</v>
      </c>
    </row>
    <row r="10" spans="1:31">
      <c r="A10" t="s">
        <v>100</v>
      </c>
      <c r="B10" t="str">
        <f t="shared" si="1"/>
        <v>Beverly</v>
      </c>
      <c r="C10" t="s">
        <v>67</v>
      </c>
      <c r="D10" t="s">
        <v>101</v>
      </c>
      <c r="E10" t="str">
        <f t="shared" si="2"/>
        <v>Nixon</v>
      </c>
      <c r="F10" t="str">
        <f t="shared" si="3"/>
        <v>BEVERLYNIXON</v>
      </c>
      <c r="G10" t="str">
        <f t="shared" si="4"/>
        <v>BEVERLYNIXON</v>
      </c>
      <c r="H10" t="str">
        <f t="shared" si="5"/>
        <v>BEV NIXON</v>
      </c>
      <c r="I10" t="str">
        <f t="shared" si="6"/>
        <v>BEV.N</v>
      </c>
      <c r="J10" t="s">
        <v>32</v>
      </c>
      <c r="K10" t="s">
        <v>102</v>
      </c>
      <c r="L10" t="s">
        <v>103</v>
      </c>
      <c r="M10" t="s">
        <v>104</v>
      </c>
      <c r="N10">
        <v>11101</v>
      </c>
      <c r="O10" t="str">
        <f t="shared" si="7"/>
        <v>11101</v>
      </c>
      <c r="P10" t="str">
        <f t="shared" si="0"/>
        <v>3480 Dancing Dove Lane, Long Island City, NY, 11101</v>
      </c>
      <c r="Q10" t="s">
        <v>105</v>
      </c>
      <c r="R10" t="str">
        <f t="shared" si="8"/>
        <v>BeverlyDNixon</v>
      </c>
      <c r="S10" t="str">
        <f t="shared" si="9"/>
        <v>aol.com</v>
      </c>
      <c r="T10" t="str">
        <f t="shared" si="10"/>
        <v>aol</v>
      </c>
      <c r="U10" t="str">
        <f t="shared" si="11"/>
        <v>BeverlyDNixon</v>
      </c>
      <c r="V10" t="s">
        <v>106</v>
      </c>
      <c r="W10" t="str">
        <f t="shared" si="12"/>
        <v>347-</v>
      </c>
      <c r="X10" t="str">
        <f t="shared" si="13"/>
        <v>626</v>
      </c>
      <c r="Y10" t="str">
        <f t="shared" si="14"/>
        <v>-0700</v>
      </c>
      <c r="Z10" t="str">
        <f>SUBSTITUTE(V10,"-","|",2)</f>
        <v>347-626|0700</v>
      </c>
      <c r="AA10" t="str">
        <f>LEFT(V10,3)</f>
        <v>347</v>
      </c>
      <c r="AB10" t="str">
        <f>MID(V10,5,3)</f>
        <v>626</v>
      </c>
      <c r="AC10" t="str">
        <f>RIGHT(V10,4)</f>
        <v>0700</v>
      </c>
      <c r="AD10" s="3" t="s">
        <v>107</v>
      </c>
      <c r="AE10" s="3" t="str">
        <f t="shared" si="15"/>
        <v>7922</v>
      </c>
    </row>
    <row r="11" spans="1:31">
      <c r="A11" t="s">
        <v>108</v>
      </c>
      <c r="B11" t="str">
        <f t="shared" si="1"/>
        <v>Ivan</v>
      </c>
      <c r="C11" t="s">
        <v>40</v>
      </c>
      <c r="D11" t="s">
        <v>109</v>
      </c>
      <c r="E11" t="str">
        <f t="shared" si="2"/>
        <v>Layton</v>
      </c>
      <c r="F11" t="str">
        <f t="shared" si="3"/>
        <v>IVANLAYTON</v>
      </c>
      <c r="G11" t="str">
        <f t="shared" si="4"/>
        <v>IVANLAYTON</v>
      </c>
      <c r="H11" t="str">
        <f t="shared" si="5"/>
        <v>IVA LAYTON</v>
      </c>
      <c r="I11" t="str">
        <f t="shared" si="6"/>
        <v>IVA.L</v>
      </c>
      <c r="J11" t="s">
        <v>42</v>
      </c>
      <c r="K11" t="s">
        <v>110</v>
      </c>
      <c r="L11" t="s">
        <v>111</v>
      </c>
      <c r="M11" t="s">
        <v>104</v>
      </c>
      <c r="N11">
        <v>12207</v>
      </c>
      <c r="O11" t="str">
        <f t="shared" si="7"/>
        <v>12207</v>
      </c>
      <c r="P11" t="str">
        <f t="shared" si="0"/>
        <v>211 Hardesty Street, Albany, NY, 12207</v>
      </c>
      <c r="Q11" t="s">
        <v>112</v>
      </c>
      <c r="R11" t="str">
        <f t="shared" si="8"/>
        <v>IvanSLayton</v>
      </c>
      <c r="S11" t="str">
        <f t="shared" si="9"/>
        <v>gmail.com</v>
      </c>
      <c r="T11" t="str">
        <f t="shared" si="10"/>
        <v>gmail</v>
      </c>
      <c r="U11" t="str">
        <f t="shared" si="11"/>
        <v>IvanSLayton</v>
      </c>
      <c r="V11" t="s">
        <v>113</v>
      </c>
      <c r="W11" t="str">
        <f t="shared" si="12"/>
        <v>518-</v>
      </c>
      <c r="X11" t="str">
        <f t="shared" si="13"/>
        <v>431</v>
      </c>
      <c r="Y11" t="str">
        <f t="shared" si="14"/>
        <v>-7602</v>
      </c>
      <c r="Z11" t="str">
        <f>SUBSTITUTE(V11,"-","|",2)</f>
        <v>518-431|7602</v>
      </c>
      <c r="AA11" t="str">
        <f>LEFT(V11,3)</f>
        <v>518</v>
      </c>
      <c r="AB11" t="str">
        <f>MID(V11,5,3)</f>
        <v>431</v>
      </c>
      <c r="AC11" t="str">
        <f>RIGHT(V11,4)</f>
        <v>7602</v>
      </c>
      <c r="AD11" s="3" t="s">
        <v>114</v>
      </c>
      <c r="AE11" s="3" t="str">
        <f t="shared" si="15"/>
        <v>4367</v>
      </c>
    </row>
    <row r="12" spans="1:31">
      <c r="A12" t="s">
        <v>115</v>
      </c>
      <c r="B12" t="str">
        <f t="shared" si="1"/>
        <v>Shannon</v>
      </c>
      <c r="C12" t="s">
        <v>116</v>
      </c>
      <c r="D12" t="s">
        <v>117</v>
      </c>
      <c r="E12" t="str">
        <f t="shared" si="2"/>
        <v>Ford</v>
      </c>
      <c r="F12" t="str">
        <f t="shared" si="3"/>
        <v>SHANNONFORD</v>
      </c>
      <c r="G12" t="str">
        <f t="shared" si="4"/>
        <v>SHANNONFORD</v>
      </c>
      <c r="H12" t="str">
        <f t="shared" si="5"/>
        <v>SHA FORD</v>
      </c>
      <c r="I12" t="str">
        <f t="shared" si="6"/>
        <v>SHA.F</v>
      </c>
      <c r="J12" t="s">
        <v>32</v>
      </c>
      <c r="K12" t="s">
        <v>118</v>
      </c>
      <c r="L12" t="s">
        <v>119</v>
      </c>
      <c r="M12" t="s">
        <v>88</v>
      </c>
      <c r="N12">
        <v>77803</v>
      </c>
      <c r="O12" t="str">
        <f t="shared" si="7"/>
        <v>77803</v>
      </c>
      <c r="P12" t="str">
        <f t="shared" si="0"/>
        <v>4430 Colonial Drive, Bryan, TX, 77803</v>
      </c>
      <c r="Q12" t="s">
        <v>120</v>
      </c>
      <c r="R12" t="str">
        <f t="shared" si="8"/>
        <v>ShannonHFord</v>
      </c>
      <c r="S12" t="str">
        <f t="shared" si="9"/>
        <v>aol.com</v>
      </c>
      <c r="T12" t="str">
        <f t="shared" si="10"/>
        <v>aol</v>
      </c>
      <c r="U12" t="str">
        <f t="shared" si="11"/>
        <v>ShannonHFord</v>
      </c>
      <c r="V12" t="s">
        <v>121</v>
      </c>
      <c r="W12" t="str">
        <f t="shared" si="12"/>
        <v>979-</v>
      </c>
      <c r="X12" t="str">
        <f t="shared" si="13"/>
        <v>814</v>
      </c>
      <c r="Y12" t="str">
        <f t="shared" si="14"/>
        <v>-1664</v>
      </c>
      <c r="Z12" t="str">
        <f>SUBSTITUTE(V12,"-","|",2)</f>
        <v>979-814|1664</v>
      </c>
      <c r="AA12" t="str">
        <f>LEFT(V12,3)</f>
        <v>979</v>
      </c>
      <c r="AB12" t="str">
        <f>MID(V12,5,3)</f>
        <v>814</v>
      </c>
      <c r="AC12" t="str">
        <f>RIGHT(V12,4)</f>
        <v>1664</v>
      </c>
      <c r="AD12" s="3" t="s">
        <v>122</v>
      </c>
      <c r="AE12" s="3" t="str">
        <f t="shared" si="15"/>
        <v>6340</v>
      </c>
    </row>
    <row r="13" spans="1:31">
      <c r="A13" t="s">
        <v>123</v>
      </c>
      <c r="B13" t="str">
        <f t="shared" si="1"/>
        <v>Debra</v>
      </c>
      <c r="C13" t="s">
        <v>124</v>
      </c>
      <c r="D13" t="s">
        <v>125</v>
      </c>
      <c r="E13" t="str">
        <f t="shared" si="2"/>
        <v>Ponce</v>
      </c>
      <c r="F13" t="str">
        <f t="shared" si="3"/>
        <v>DEBRAPONCE</v>
      </c>
      <c r="G13" t="str">
        <f t="shared" si="4"/>
        <v>DEBRAPONCE</v>
      </c>
      <c r="H13" t="str">
        <f t="shared" si="5"/>
        <v>DEB PONCE</v>
      </c>
      <c r="I13" t="str">
        <f t="shared" si="6"/>
        <v>DEB.P</v>
      </c>
      <c r="J13" t="s">
        <v>32</v>
      </c>
      <c r="K13" t="s">
        <v>126</v>
      </c>
      <c r="L13" t="s">
        <v>127</v>
      </c>
      <c r="M13" t="s">
        <v>88</v>
      </c>
      <c r="N13">
        <v>75247</v>
      </c>
      <c r="O13" t="str">
        <f t="shared" si="7"/>
        <v>75247</v>
      </c>
      <c r="P13" t="str">
        <f t="shared" si="0"/>
        <v>4418 Sussex Court, Dallas, TX, 75247</v>
      </c>
      <c r="Q13" t="s">
        <v>128</v>
      </c>
      <c r="R13" t="str">
        <f t="shared" si="8"/>
        <v>DebraFPonce</v>
      </c>
      <c r="S13" t="str">
        <f t="shared" si="9"/>
        <v>gmail.com</v>
      </c>
      <c r="T13" t="str">
        <f t="shared" si="10"/>
        <v>gmail</v>
      </c>
      <c r="U13" t="str">
        <f t="shared" si="11"/>
        <v>DebraFPonce</v>
      </c>
      <c r="V13" t="s">
        <v>129</v>
      </c>
      <c r="W13" t="str">
        <f t="shared" si="12"/>
        <v>254-</v>
      </c>
      <c r="X13" t="str">
        <f t="shared" si="13"/>
        <v>488</v>
      </c>
      <c r="Y13" t="str">
        <f t="shared" si="14"/>
        <v>-3212</v>
      </c>
      <c r="Z13" t="str">
        <f>SUBSTITUTE(V13,"-","|",2)</f>
        <v>254-488|3212</v>
      </c>
      <c r="AA13" t="str">
        <f>LEFT(V13,3)</f>
        <v>254</v>
      </c>
      <c r="AB13" t="str">
        <f>MID(V13,5,3)</f>
        <v>488</v>
      </c>
      <c r="AC13" t="str">
        <f>RIGHT(V13,4)</f>
        <v>3212</v>
      </c>
      <c r="AD13" s="3" t="s">
        <v>130</v>
      </c>
      <c r="AE13" s="3" t="str">
        <f t="shared" si="15"/>
        <v>7259</v>
      </c>
    </row>
    <row r="14" spans="1:31">
      <c r="A14" t="s">
        <v>131</v>
      </c>
      <c r="B14" t="str">
        <f t="shared" si="1"/>
        <v>Margaret</v>
      </c>
      <c r="C14" t="s">
        <v>132</v>
      </c>
      <c r="D14" t="s">
        <v>133</v>
      </c>
      <c r="E14" t="str">
        <f t="shared" si="2"/>
        <v>Bryner</v>
      </c>
      <c r="F14" t="str">
        <f t="shared" si="3"/>
        <v>MARGARETBRYNER</v>
      </c>
      <c r="G14" t="str">
        <f t="shared" si="4"/>
        <v>MARGARETBRYNER</v>
      </c>
      <c r="H14" t="str">
        <f t="shared" si="5"/>
        <v>MAR BRYNER</v>
      </c>
      <c r="I14" t="str">
        <f t="shared" si="6"/>
        <v>MAR.B</v>
      </c>
      <c r="J14" t="s">
        <v>32</v>
      </c>
      <c r="K14" t="s">
        <v>134</v>
      </c>
      <c r="L14" t="s">
        <v>135</v>
      </c>
      <c r="M14" t="s">
        <v>136</v>
      </c>
      <c r="N14">
        <v>2905</v>
      </c>
      <c r="O14" t="str">
        <f t="shared" si="7"/>
        <v>02905</v>
      </c>
      <c r="P14" t="str">
        <f t="shared" si="0"/>
        <v>738 Melm Street, Providence, RI, 2905</v>
      </c>
      <c r="Q14" t="s">
        <v>137</v>
      </c>
      <c r="R14" t="str">
        <f t="shared" si="8"/>
        <v>MargaretRBryner</v>
      </c>
      <c r="S14" t="str">
        <f t="shared" si="9"/>
        <v>aol.com</v>
      </c>
      <c r="T14" t="str">
        <f t="shared" si="10"/>
        <v>aol</v>
      </c>
      <c r="U14" t="str">
        <f t="shared" si="11"/>
        <v>MargaretRBryner</v>
      </c>
      <c r="V14" t="s">
        <v>138</v>
      </c>
      <c r="W14" t="str">
        <f t="shared" si="12"/>
        <v>401-</v>
      </c>
      <c r="X14" t="str">
        <f t="shared" si="13"/>
        <v>222</v>
      </c>
      <c r="Y14" t="str">
        <f t="shared" si="14"/>
        <v>-2097</v>
      </c>
      <c r="Z14" t="str">
        <f>SUBSTITUTE(V14,"-","|",2)</f>
        <v>401-222|2097</v>
      </c>
      <c r="AA14" t="str">
        <f>LEFT(V14,3)</f>
        <v>401</v>
      </c>
      <c r="AB14" t="str">
        <f>MID(V14,5,3)</f>
        <v>222</v>
      </c>
      <c r="AC14" t="str">
        <f>RIGHT(V14,4)</f>
        <v>2097</v>
      </c>
      <c r="AD14" s="3" t="s">
        <v>139</v>
      </c>
      <c r="AE14" s="3" t="str">
        <f t="shared" si="15"/>
        <v>513</v>
      </c>
    </row>
    <row r="15" spans="1:31">
      <c r="A15" t="s">
        <v>140</v>
      </c>
      <c r="B15" t="str">
        <f t="shared" si="1"/>
        <v>Barbara</v>
      </c>
      <c r="C15" t="s">
        <v>141</v>
      </c>
      <c r="D15" t="s">
        <v>142</v>
      </c>
      <c r="E15" t="str">
        <f t="shared" si="2"/>
        <v>Smith</v>
      </c>
      <c r="F15" t="str">
        <f t="shared" si="3"/>
        <v>BARBARASMITH</v>
      </c>
      <c r="G15" t="str">
        <f t="shared" si="4"/>
        <v>BARBARASMITH</v>
      </c>
      <c r="H15" t="str">
        <f t="shared" si="5"/>
        <v>BAR SMITH</v>
      </c>
      <c r="I15" t="str">
        <f t="shared" si="6"/>
        <v>BAR.S</v>
      </c>
      <c r="J15" t="s">
        <v>32</v>
      </c>
      <c r="K15" t="s">
        <v>143</v>
      </c>
      <c r="L15" t="s">
        <v>144</v>
      </c>
      <c r="M15" t="s">
        <v>53</v>
      </c>
      <c r="N15">
        <v>8232</v>
      </c>
      <c r="O15" t="str">
        <f t="shared" si="7"/>
        <v>08232</v>
      </c>
      <c r="P15" t="str">
        <f t="shared" si="0"/>
        <v>352 Lake Road, Egg Harbor, NJ, 8232</v>
      </c>
      <c r="Q15" t="s">
        <v>145</v>
      </c>
      <c r="R15" t="str">
        <f t="shared" si="8"/>
        <v>BarbaraESmith</v>
      </c>
      <c r="S15" t="str">
        <f t="shared" si="9"/>
        <v>hotmail.com</v>
      </c>
      <c r="T15" t="str">
        <f t="shared" si="10"/>
        <v>hotmail</v>
      </c>
      <c r="U15" t="str">
        <f t="shared" si="11"/>
        <v>BarbaraESmith</v>
      </c>
      <c r="V15" t="s">
        <v>146</v>
      </c>
      <c r="W15" t="str">
        <f t="shared" si="12"/>
        <v>609-</v>
      </c>
      <c r="X15" t="str">
        <f t="shared" si="13"/>
        <v>412</v>
      </c>
      <c r="Y15" t="str">
        <f t="shared" si="14"/>
        <v>-4268</v>
      </c>
      <c r="Z15" t="str">
        <f>SUBSTITUTE(V15,"-","|",2)</f>
        <v>609-412|4268</v>
      </c>
      <c r="AA15" t="str">
        <f>LEFT(V15,3)</f>
        <v>609</v>
      </c>
      <c r="AB15" t="str">
        <f>MID(V15,5,3)</f>
        <v>412</v>
      </c>
      <c r="AC15" t="str">
        <f>RIGHT(V15,4)</f>
        <v>4268</v>
      </c>
      <c r="AD15" s="3" t="s">
        <v>147</v>
      </c>
      <c r="AE15" s="3" t="str">
        <f t="shared" si="15"/>
        <v>1895</v>
      </c>
    </row>
    <row r="16" spans="1:31">
      <c r="A16" t="s">
        <v>148</v>
      </c>
      <c r="B16" t="str">
        <f t="shared" si="1"/>
        <v>Sue</v>
      </c>
      <c r="C16" t="s">
        <v>149</v>
      </c>
      <c r="D16" t="s">
        <v>150</v>
      </c>
      <c r="E16" t="str">
        <f t="shared" si="2"/>
        <v>Gay</v>
      </c>
      <c r="F16" t="str">
        <f t="shared" si="3"/>
        <v>SUEGAY</v>
      </c>
      <c r="G16" t="str">
        <f t="shared" si="4"/>
        <v>SUEGAY</v>
      </c>
      <c r="H16" t="str">
        <f t="shared" si="5"/>
        <v>SUE GAY</v>
      </c>
      <c r="I16" t="str">
        <f t="shared" si="6"/>
        <v>SUE.G</v>
      </c>
      <c r="J16" t="s">
        <v>32</v>
      </c>
      <c r="K16" t="s">
        <v>151</v>
      </c>
      <c r="L16" t="s">
        <v>152</v>
      </c>
      <c r="M16" t="s">
        <v>153</v>
      </c>
      <c r="N16">
        <v>54620</v>
      </c>
      <c r="O16" t="str">
        <f t="shared" si="7"/>
        <v>54620</v>
      </c>
      <c r="P16" t="str">
        <f t="shared" si="0"/>
        <v>2680 Comfort Court, Cataract, WI, 54620</v>
      </c>
      <c r="Q16" t="s">
        <v>154</v>
      </c>
      <c r="R16" t="str">
        <f t="shared" si="8"/>
        <v>SuePGay</v>
      </c>
      <c r="S16" t="str">
        <f t="shared" si="9"/>
        <v>aol.com</v>
      </c>
      <c r="T16" t="str">
        <f t="shared" si="10"/>
        <v>aol</v>
      </c>
      <c r="U16" t="str">
        <f t="shared" si="11"/>
        <v>SuePGay</v>
      </c>
      <c r="V16" t="s">
        <v>155</v>
      </c>
      <c r="W16" t="str">
        <f t="shared" si="12"/>
        <v>608-</v>
      </c>
      <c r="X16" t="str">
        <f t="shared" si="13"/>
        <v>272</v>
      </c>
      <c r="Y16" t="str">
        <f t="shared" si="14"/>
        <v>-8021</v>
      </c>
      <c r="Z16" t="str">
        <f>SUBSTITUTE(V16,"-","|",2)</f>
        <v>608-272|8021</v>
      </c>
      <c r="AA16" t="str">
        <f>LEFT(V16,3)</f>
        <v>608</v>
      </c>
      <c r="AB16" t="str">
        <f>MID(V16,5,3)</f>
        <v>272</v>
      </c>
      <c r="AC16" t="str">
        <f>RIGHT(V16,4)</f>
        <v>8021</v>
      </c>
      <c r="AD16" s="3" t="s">
        <v>156</v>
      </c>
      <c r="AE16" s="3" t="str">
        <f t="shared" si="15"/>
        <v>218</v>
      </c>
    </row>
    <row r="17" spans="1:31">
      <c r="A17" t="s">
        <v>157</v>
      </c>
      <c r="B17" t="str">
        <f t="shared" si="1"/>
        <v>Mark</v>
      </c>
      <c r="C17" t="s">
        <v>40</v>
      </c>
      <c r="D17" t="s">
        <v>158</v>
      </c>
      <c r="E17" t="str">
        <f t="shared" si="2"/>
        <v>Flores</v>
      </c>
      <c r="F17" t="str">
        <f t="shared" si="3"/>
        <v>MARKFLORES</v>
      </c>
      <c r="G17" t="str">
        <f t="shared" si="4"/>
        <v>MARKFLORES</v>
      </c>
      <c r="H17" t="str">
        <f t="shared" si="5"/>
        <v>MAR FLORES</v>
      </c>
      <c r="I17" t="str">
        <f t="shared" si="6"/>
        <v>MAR.F</v>
      </c>
      <c r="J17" t="s">
        <v>42</v>
      </c>
      <c r="K17" t="s">
        <v>159</v>
      </c>
      <c r="L17" t="s">
        <v>160</v>
      </c>
      <c r="M17" t="s">
        <v>161</v>
      </c>
      <c r="N17">
        <v>48607</v>
      </c>
      <c r="O17" t="str">
        <f t="shared" si="7"/>
        <v>48607</v>
      </c>
      <c r="P17" t="str">
        <f t="shared" si="0"/>
        <v>42 Mount Street, Saginaw, MI, 48607</v>
      </c>
      <c r="Q17" t="s">
        <v>162</v>
      </c>
      <c r="R17" t="str">
        <f t="shared" si="8"/>
        <v>MarkSFlores</v>
      </c>
      <c r="S17" t="str">
        <f t="shared" si="9"/>
        <v>aol.com</v>
      </c>
      <c r="T17" t="str">
        <f t="shared" si="10"/>
        <v>aol</v>
      </c>
      <c r="U17" t="str">
        <f t="shared" si="11"/>
        <v>MarkSFlores</v>
      </c>
      <c r="V17" t="s">
        <v>163</v>
      </c>
      <c r="W17" t="str">
        <f t="shared" si="12"/>
        <v>989-</v>
      </c>
      <c r="X17" t="str">
        <f t="shared" si="13"/>
        <v>669</v>
      </c>
      <c r="Y17" t="str">
        <f t="shared" si="14"/>
        <v>-4705</v>
      </c>
      <c r="Z17" t="str">
        <f>SUBSTITUTE(V17,"-","|",2)</f>
        <v>989-669|4705</v>
      </c>
      <c r="AA17" t="str">
        <f>LEFT(V17,3)</f>
        <v>989</v>
      </c>
      <c r="AB17" t="str">
        <f>MID(V17,5,3)</f>
        <v>669</v>
      </c>
      <c r="AC17" t="str">
        <f>RIGHT(V17,4)</f>
        <v>4705</v>
      </c>
      <c r="AD17" s="3" t="s">
        <v>164</v>
      </c>
      <c r="AE17" s="3" t="str">
        <f t="shared" si="15"/>
        <v>239</v>
      </c>
    </row>
    <row r="18" spans="1:31">
      <c r="A18" t="s">
        <v>165</v>
      </c>
      <c r="B18" t="str">
        <f t="shared" si="1"/>
        <v>Julie</v>
      </c>
      <c r="C18" t="s">
        <v>166</v>
      </c>
      <c r="D18" t="s">
        <v>167</v>
      </c>
      <c r="E18" t="str">
        <f t="shared" si="2"/>
        <v>Purington</v>
      </c>
      <c r="F18" t="str">
        <f t="shared" si="3"/>
        <v>JULIEPURINGTON</v>
      </c>
      <c r="G18" t="str">
        <f t="shared" si="4"/>
        <v>JULIEPURINGTON</v>
      </c>
      <c r="H18" t="str">
        <f t="shared" si="5"/>
        <v>JUL PURINGTON</v>
      </c>
      <c r="I18" t="str">
        <f t="shared" si="6"/>
        <v>JUL.P</v>
      </c>
      <c r="J18" t="s">
        <v>32</v>
      </c>
      <c r="K18" t="s">
        <v>168</v>
      </c>
      <c r="L18" t="s">
        <v>169</v>
      </c>
      <c r="M18" t="s">
        <v>53</v>
      </c>
      <c r="N18">
        <v>8854</v>
      </c>
      <c r="O18" t="str">
        <f t="shared" si="7"/>
        <v>08854</v>
      </c>
      <c r="P18" t="str">
        <f t="shared" si="0"/>
        <v>4953 Mahlon Street, Piscataway, NJ, 8854</v>
      </c>
      <c r="Q18" t="s">
        <v>170</v>
      </c>
      <c r="R18" t="str">
        <f t="shared" si="8"/>
        <v>JulieBPurington</v>
      </c>
      <c r="S18" t="str">
        <f t="shared" si="9"/>
        <v>hotmail.com</v>
      </c>
      <c r="T18" t="str">
        <f t="shared" si="10"/>
        <v>hotmail</v>
      </c>
      <c r="U18" t="str">
        <f t="shared" si="11"/>
        <v>JulieBPurington</v>
      </c>
      <c r="V18" t="s">
        <v>171</v>
      </c>
      <c r="W18" t="str">
        <f t="shared" si="12"/>
        <v>732-</v>
      </c>
      <c r="X18" t="str">
        <f t="shared" si="13"/>
        <v>981</v>
      </c>
      <c r="Y18" t="str">
        <f t="shared" si="14"/>
        <v>-4756</v>
      </c>
      <c r="Z18" t="str">
        <f>SUBSTITUTE(V18,"-","|",2)</f>
        <v>732-981|4756</v>
      </c>
      <c r="AA18" t="str">
        <f>LEFT(V18,3)</f>
        <v>732</v>
      </c>
      <c r="AB18" t="str">
        <f>MID(V18,5,3)</f>
        <v>981</v>
      </c>
      <c r="AC18" t="str">
        <f>RIGHT(V18,4)</f>
        <v>4756</v>
      </c>
      <c r="AD18" s="3" t="s">
        <v>172</v>
      </c>
      <c r="AE18" s="3" t="str">
        <f t="shared" si="15"/>
        <v>8909</v>
      </c>
    </row>
    <row r="19" spans="1:31">
      <c r="A19" t="s">
        <v>173</v>
      </c>
      <c r="B19" t="str">
        <f t="shared" si="1"/>
        <v>Debbie</v>
      </c>
      <c r="C19" t="s">
        <v>30</v>
      </c>
      <c r="D19" t="s">
        <v>174</v>
      </c>
      <c r="E19" t="str">
        <f t="shared" si="2"/>
        <v>Schuler</v>
      </c>
      <c r="F19" t="str">
        <f t="shared" si="3"/>
        <v>DEBBIESCHULER</v>
      </c>
      <c r="G19" t="str">
        <f t="shared" si="4"/>
        <v>DEBBIESCHULER</v>
      </c>
      <c r="H19" t="str">
        <f t="shared" si="5"/>
        <v>DEB SCHULER</v>
      </c>
      <c r="I19" t="str">
        <f t="shared" si="6"/>
        <v>DEB.S</v>
      </c>
      <c r="J19" t="s">
        <v>32</v>
      </c>
      <c r="K19" t="s">
        <v>175</v>
      </c>
      <c r="L19" t="s">
        <v>176</v>
      </c>
      <c r="M19" t="s">
        <v>177</v>
      </c>
      <c r="N19">
        <v>38008</v>
      </c>
      <c r="O19" t="str">
        <f t="shared" si="7"/>
        <v>38008</v>
      </c>
      <c r="P19" t="str">
        <f t="shared" si="0"/>
        <v>673 Mapleview Drive, Bolivar, TN, 38008</v>
      </c>
      <c r="Q19" t="s">
        <v>178</v>
      </c>
      <c r="R19" t="str">
        <f t="shared" si="8"/>
        <v>DebbieJSchuler</v>
      </c>
      <c r="S19" t="str">
        <f t="shared" si="9"/>
        <v>hotmail.com</v>
      </c>
      <c r="T19" t="str">
        <f t="shared" si="10"/>
        <v>hotmail</v>
      </c>
      <c r="U19" t="str">
        <f t="shared" si="11"/>
        <v>DebbieJSchuler</v>
      </c>
      <c r="V19" t="s">
        <v>179</v>
      </c>
      <c r="W19" t="str">
        <f t="shared" si="12"/>
        <v>731-</v>
      </c>
      <c r="X19" t="str">
        <f t="shared" si="13"/>
        <v>228</v>
      </c>
      <c r="Y19" t="str">
        <f t="shared" si="14"/>
        <v>-0270</v>
      </c>
      <c r="Z19" t="str">
        <f>SUBSTITUTE(V19,"-","|",2)</f>
        <v>731-228|0270</v>
      </c>
      <c r="AA19" t="str">
        <f>LEFT(V19,3)</f>
        <v>731</v>
      </c>
      <c r="AB19" t="str">
        <f>MID(V19,5,3)</f>
        <v>228</v>
      </c>
      <c r="AC19" t="str">
        <f>RIGHT(V19,4)</f>
        <v>0270</v>
      </c>
      <c r="AD19" s="3" t="s">
        <v>180</v>
      </c>
      <c r="AE19" s="3" t="str">
        <f t="shared" si="15"/>
        <v>160</v>
      </c>
    </row>
    <row r="20" spans="1:31">
      <c r="A20" t="s">
        <v>181</v>
      </c>
      <c r="B20" t="str">
        <f t="shared" si="1"/>
        <v>Grace</v>
      </c>
      <c r="C20" t="s">
        <v>182</v>
      </c>
      <c r="D20" t="s">
        <v>183</v>
      </c>
      <c r="E20" t="str">
        <f t="shared" si="2"/>
        <v>Renninger</v>
      </c>
      <c r="F20" t="str">
        <f t="shared" si="3"/>
        <v>GRACERENNINGER</v>
      </c>
      <c r="G20" t="str">
        <f t="shared" si="4"/>
        <v>GRACERENNINGER</v>
      </c>
      <c r="H20" t="str">
        <f t="shared" si="5"/>
        <v>GRA RENNINGER</v>
      </c>
      <c r="I20" t="str">
        <f t="shared" si="6"/>
        <v>GRA.R</v>
      </c>
      <c r="J20" t="s">
        <v>32</v>
      </c>
      <c r="K20" t="s">
        <v>184</v>
      </c>
      <c r="L20" t="s">
        <v>185</v>
      </c>
      <c r="M20" t="s">
        <v>35</v>
      </c>
      <c r="N20">
        <v>60661</v>
      </c>
      <c r="O20" t="str">
        <f t="shared" si="7"/>
        <v>60661</v>
      </c>
      <c r="P20" t="str">
        <f t="shared" si="0"/>
        <v>2363 Oakmound Road, Chicago, IL, 60661</v>
      </c>
      <c r="Q20" t="s">
        <v>186</v>
      </c>
      <c r="R20" t="str">
        <f t="shared" si="8"/>
        <v>GraceCRenninger</v>
      </c>
      <c r="S20" t="str">
        <f t="shared" si="9"/>
        <v>gmail.com</v>
      </c>
      <c r="T20" t="str">
        <f t="shared" si="10"/>
        <v>gmail</v>
      </c>
      <c r="U20" t="str">
        <f t="shared" si="11"/>
        <v>GraceCRenninger</v>
      </c>
      <c r="V20" t="s">
        <v>187</v>
      </c>
      <c r="W20" t="str">
        <f t="shared" si="12"/>
        <v>773-</v>
      </c>
      <c r="X20" t="str">
        <f t="shared" si="13"/>
        <v>250</v>
      </c>
      <c r="Y20" t="str">
        <f t="shared" si="14"/>
        <v>-4788</v>
      </c>
      <c r="Z20" t="str">
        <f>SUBSTITUTE(V20,"-","|",2)</f>
        <v>773-250|4788</v>
      </c>
      <c r="AA20" t="str">
        <f>LEFT(V20,3)</f>
        <v>773</v>
      </c>
      <c r="AB20" t="str">
        <f>MID(V20,5,3)</f>
        <v>250</v>
      </c>
      <c r="AC20" t="str">
        <f>RIGHT(V20,4)</f>
        <v>4788</v>
      </c>
      <c r="AD20" s="3" t="s">
        <v>188</v>
      </c>
      <c r="AE20" s="3" t="str">
        <f t="shared" si="15"/>
        <v>939</v>
      </c>
    </row>
    <row r="21" spans="1:31">
      <c r="A21" t="s">
        <v>189</v>
      </c>
      <c r="B21" t="str">
        <f t="shared" si="1"/>
        <v>James</v>
      </c>
      <c r="C21" t="s">
        <v>182</v>
      </c>
      <c r="D21" t="s">
        <v>190</v>
      </c>
      <c r="E21" t="str">
        <f t="shared" si="2"/>
        <v>Weiss</v>
      </c>
      <c r="F21" t="str">
        <f t="shared" si="3"/>
        <v>JAMESWEISS</v>
      </c>
      <c r="G21" t="str">
        <f t="shared" si="4"/>
        <v>JAMESWEISS</v>
      </c>
      <c r="H21" t="str">
        <f t="shared" si="5"/>
        <v>JAM WEISS</v>
      </c>
      <c r="I21" t="str">
        <f t="shared" si="6"/>
        <v>JAM.W</v>
      </c>
      <c r="J21" t="s">
        <v>42</v>
      </c>
      <c r="K21" t="s">
        <v>191</v>
      </c>
      <c r="L21" t="s">
        <v>192</v>
      </c>
      <c r="M21" t="s">
        <v>88</v>
      </c>
      <c r="N21">
        <v>77060</v>
      </c>
      <c r="O21" t="str">
        <f t="shared" si="7"/>
        <v>77060</v>
      </c>
      <c r="P21" t="str">
        <f t="shared" si="0"/>
        <v>1278 Cemetery Street, Houston, TX, 77060</v>
      </c>
      <c r="Q21" t="s">
        <v>193</v>
      </c>
      <c r="R21" t="str">
        <f t="shared" si="8"/>
        <v>JamesCWeiss</v>
      </c>
      <c r="S21" t="str">
        <f t="shared" si="9"/>
        <v>aol.com</v>
      </c>
      <c r="T21" t="str">
        <f t="shared" si="10"/>
        <v>aol</v>
      </c>
      <c r="U21" t="str">
        <f t="shared" si="11"/>
        <v>JamesCWeiss</v>
      </c>
      <c r="V21" t="s">
        <v>194</v>
      </c>
      <c r="W21" t="str">
        <f t="shared" si="12"/>
        <v>832-</v>
      </c>
      <c r="X21" t="str">
        <f t="shared" si="13"/>
        <v>232</v>
      </c>
      <c r="Y21" t="str">
        <f t="shared" si="14"/>
        <v>-4190</v>
      </c>
      <c r="Z21" t="str">
        <f>SUBSTITUTE(V21,"-","|",2)</f>
        <v>832-232|4190</v>
      </c>
      <c r="AA21" t="str">
        <f>LEFT(V21,3)</f>
        <v>832</v>
      </c>
      <c r="AB21" t="str">
        <f>MID(V21,5,3)</f>
        <v>232</v>
      </c>
      <c r="AC21" t="str">
        <f>RIGHT(V21,4)</f>
        <v>4190</v>
      </c>
      <c r="AD21" s="3" t="s">
        <v>195</v>
      </c>
      <c r="AE21" s="3" t="str">
        <f t="shared" si="15"/>
        <v>0787</v>
      </c>
    </row>
    <row r="22" spans="1:31">
      <c r="A22" t="s">
        <v>196</v>
      </c>
      <c r="B22" t="str">
        <f t="shared" si="1"/>
        <v>Addie</v>
      </c>
      <c r="C22" t="s">
        <v>30</v>
      </c>
      <c r="D22" t="s">
        <v>197</v>
      </c>
      <c r="E22" t="str">
        <f t="shared" si="2"/>
        <v>Stevenson</v>
      </c>
      <c r="F22" t="str">
        <f t="shared" si="3"/>
        <v>ADDIESTEVENSON</v>
      </c>
      <c r="G22" t="str">
        <f t="shared" si="4"/>
        <v>ADDIESTEVENSON</v>
      </c>
      <c r="H22" t="str">
        <f t="shared" si="5"/>
        <v>ADD STEVENSON</v>
      </c>
      <c r="I22" t="str">
        <f t="shared" si="6"/>
        <v>ADD.S</v>
      </c>
      <c r="J22" t="s">
        <v>32</v>
      </c>
      <c r="K22" t="s">
        <v>198</v>
      </c>
      <c r="L22" t="s">
        <v>199</v>
      </c>
      <c r="M22" t="s">
        <v>200</v>
      </c>
      <c r="N22">
        <v>32256</v>
      </c>
      <c r="O22" t="str">
        <f t="shared" si="7"/>
        <v>32256</v>
      </c>
      <c r="P22" t="str">
        <f t="shared" si="0"/>
        <v>336 Alpha Avenue, Jacksonville, FL, 32256</v>
      </c>
      <c r="Q22" t="s">
        <v>201</v>
      </c>
      <c r="R22" t="str">
        <f t="shared" si="8"/>
        <v>AddieJStevenson</v>
      </c>
      <c r="S22" t="str">
        <f t="shared" si="9"/>
        <v>gmail.com</v>
      </c>
      <c r="T22" t="str">
        <f t="shared" si="10"/>
        <v>gmail</v>
      </c>
      <c r="U22" t="str">
        <f t="shared" si="11"/>
        <v>AddieJStevenson</v>
      </c>
      <c r="V22" t="s">
        <v>202</v>
      </c>
      <c r="W22" t="str">
        <f t="shared" si="12"/>
        <v>904-</v>
      </c>
      <c r="X22" t="str">
        <f t="shared" si="13"/>
        <v>248</v>
      </c>
      <c r="Y22" t="str">
        <f t="shared" si="14"/>
        <v>-2500</v>
      </c>
      <c r="Z22" t="str">
        <f>SUBSTITUTE(V22,"-","|",2)</f>
        <v>904-248|2500</v>
      </c>
      <c r="AA22" t="str">
        <f>LEFT(V22,3)</f>
        <v>904</v>
      </c>
      <c r="AB22" t="str">
        <f>MID(V22,5,3)</f>
        <v>248</v>
      </c>
      <c r="AC22" t="str">
        <f>RIGHT(V22,4)</f>
        <v>2500</v>
      </c>
      <c r="AD22" s="3" t="s">
        <v>203</v>
      </c>
      <c r="AE22" s="3" t="str">
        <f t="shared" si="15"/>
        <v>5854</v>
      </c>
    </row>
    <row r="23" spans="1:31">
      <c r="A23" t="s">
        <v>204</v>
      </c>
      <c r="B23" t="str">
        <f t="shared" si="1"/>
        <v>Patrick</v>
      </c>
      <c r="C23" t="s">
        <v>132</v>
      </c>
      <c r="D23" t="s">
        <v>205</v>
      </c>
      <c r="E23" t="str">
        <f t="shared" si="2"/>
        <v>Mccurdy</v>
      </c>
      <c r="F23" t="str">
        <f t="shared" si="3"/>
        <v>PATRICKMCCURDY</v>
      </c>
      <c r="G23" t="str">
        <f t="shared" si="4"/>
        <v>PATRICKMCCURDY</v>
      </c>
      <c r="H23" t="str">
        <f t="shared" si="5"/>
        <v>PAT MCCURDY</v>
      </c>
      <c r="I23" t="str">
        <f t="shared" si="6"/>
        <v>PAT.M</v>
      </c>
      <c r="J23" t="s">
        <v>42</v>
      </c>
      <c r="K23" t="s">
        <v>206</v>
      </c>
      <c r="L23" t="s">
        <v>207</v>
      </c>
      <c r="M23" t="s">
        <v>208</v>
      </c>
      <c r="N23">
        <v>68956</v>
      </c>
      <c r="O23" t="str">
        <f t="shared" si="7"/>
        <v>68956</v>
      </c>
      <c r="P23" t="str">
        <f t="shared" si="0"/>
        <v>2166 North Avenue, Kenesaw, NE, 68956</v>
      </c>
      <c r="Q23" t="s">
        <v>209</v>
      </c>
      <c r="R23" t="str">
        <f t="shared" si="8"/>
        <v>PatrickRMcCurdy</v>
      </c>
      <c r="S23" t="str">
        <f t="shared" si="9"/>
        <v>hotmail.com</v>
      </c>
      <c r="T23" t="str">
        <f t="shared" si="10"/>
        <v>hotmail</v>
      </c>
      <c r="U23" t="str">
        <f t="shared" si="11"/>
        <v>PatrickRMcCurdy</v>
      </c>
      <c r="V23" t="s">
        <v>210</v>
      </c>
      <c r="W23" t="str">
        <f t="shared" si="12"/>
        <v>402-</v>
      </c>
      <c r="X23" t="str">
        <f t="shared" si="13"/>
        <v>752</v>
      </c>
      <c r="Y23" t="str">
        <f t="shared" si="14"/>
        <v>-6280</v>
      </c>
      <c r="Z23" t="str">
        <f>SUBSTITUTE(V23,"-","|",2)</f>
        <v>402-752|6280</v>
      </c>
      <c r="AA23" t="str">
        <f>LEFT(V23,3)</f>
        <v>402</v>
      </c>
      <c r="AB23" t="str">
        <f>MID(V23,5,3)</f>
        <v>752</v>
      </c>
      <c r="AC23" t="str">
        <f>RIGHT(V23,4)</f>
        <v>6280</v>
      </c>
      <c r="AD23" s="3" t="s">
        <v>211</v>
      </c>
      <c r="AE23" s="3" t="str">
        <f t="shared" si="15"/>
        <v>9019</v>
      </c>
    </row>
    <row r="24" spans="1:31">
      <c r="A24" t="s">
        <v>212</v>
      </c>
      <c r="B24" t="str">
        <f t="shared" si="1"/>
        <v>Laura</v>
      </c>
      <c r="C24" t="s">
        <v>213</v>
      </c>
      <c r="D24" t="s">
        <v>214</v>
      </c>
      <c r="E24" t="str">
        <f t="shared" si="2"/>
        <v>Hailey</v>
      </c>
      <c r="F24" t="str">
        <f t="shared" si="3"/>
        <v>LAURAHAILEY</v>
      </c>
      <c r="G24" t="str">
        <f t="shared" si="4"/>
        <v>LAURAHAILEY</v>
      </c>
      <c r="H24" t="str">
        <f t="shared" si="5"/>
        <v>LAU HAILEY</v>
      </c>
      <c r="I24" t="str">
        <f t="shared" si="6"/>
        <v>LAU.H</v>
      </c>
      <c r="J24" t="s">
        <v>32</v>
      </c>
      <c r="K24" t="s">
        <v>215</v>
      </c>
      <c r="L24" t="s">
        <v>216</v>
      </c>
      <c r="M24" t="s">
        <v>217</v>
      </c>
      <c r="N24">
        <v>84627</v>
      </c>
      <c r="O24" t="str">
        <f t="shared" si="7"/>
        <v>84627</v>
      </c>
      <c r="P24" t="str">
        <f t="shared" si="0"/>
        <v>3684 North Street, Ephraim, UT, 84627</v>
      </c>
      <c r="Q24" t="s">
        <v>218</v>
      </c>
      <c r="R24" t="str">
        <f t="shared" si="8"/>
        <v>LauraAHailey</v>
      </c>
      <c r="S24" t="str">
        <f t="shared" si="9"/>
        <v>aol.com</v>
      </c>
      <c r="T24" t="str">
        <f t="shared" si="10"/>
        <v>aol</v>
      </c>
      <c r="U24" t="str">
        <f t="shared" si="11"/>
        <v>LauraAHailey</v>
      </c>
      <c r="V24" t="s">
        <v>219</v>
      </c>
      <c r="W24" t="str">
        <f t="shared" si="12"/>
        <v>435-</v>
      </c>
      <c r="X24" t="str">
        <f t="shared" si="13"/>
        <v>283</v>
      </c>
      <c r="Y24" t="str">
        <f t="shared" si="14"/>
        <v>-1109</v>
      </c>
      <c r="Z24" t="str">
        <f>SUBSTITUTE(V24,"-","|",2)</f>
        <v>435-283|1109</v>
      </c>
      <c r="AA24" t="str">
        <f>LEFT(V24,3)</f>
        <v>435</v>
      </c>
      <c r="AB24" t="str">
        <f>MID(V24,5,3)</f>
        <v>283</v>
      </c>
      <c r="AC24" t="str">
        <f>RIGHT(V24,4)</f>
        <v>1109</v>
      </c>
      <c r="AD24" s="3" t="s">
        <v>220</v>
      </c>
      <c r="AE24" s="3" t="str">
        <f t="shared" si="15"/>
        <v>701</v>
      </c>
    </row>
    <row r="25" spans="1:31">
      <c r="A25" t="s">
        <v>221</v>
      </c>
      <c r="B25" t="str">
        <f t="shared" si="1"/>
        <v>Daniel</v>
      </c>
      <c r="C25" t="s">
        <v>58</v>
      </c>
      <c r="D25" t="s">
        <v>222</v>
      </c>
      <c r="E25" t="str">
        <f t="shared" si="2"/>
        <v>Girard</v>
      </c>
      <c r="F25" t="str">
        <f t="shared" si="3"/>
        <v>DANIELGIRARD</v>
      </c>
      <c r="G25" t="str">
        <f t="shared" si="4"/>
        <v>DANIELGIRARD</v>
      </c>
      <c r="H25" t="str">
        <f t="shared" si="5"/>
        <v>DAN GIRARD</v>
      </c>
      <c r="I25" t="str">
        <f t="shared" si="6"/>
        <v>DAN.G</v>
      </c>
      <c r="J25" t="s">
        <v>42</v>
      </c>
      <c r="K25" t="s">
        <v>223</v>
      </c>
      <c r="L25" t="s">
        <v>224</v>
      </c>
      <c r="M25" t="s">
        <v>225</v>
      </c>
      <c r="N25">
        <v>25443</v>
      </c>
      <c r="O25" t="str">
        <f t="shared" si="7"/>
        <v>25443</v>
      </c>
      <c r="P25" t="str">
        <f t="shared" si="0"/>
        <v>1678 Kelly Drive, Shepherdstown, WV, 25443</v>
      </c>
      <c r="Q25" t="s">
        <v>226</v>
      </c>
      <c r="R25" t="str">
        <f t="shared" si="8"/>
        <v>DanielMGirard</v>
      </c>
      <c r="S25" t="str">
        <f t="shared" si="9"/>
        <v>aol.com</v>
      </c>
      <c r="T25" t="str">
        <f t="shared" si="10"/>
        <v>aol</v>
      </c>
      <c r="U25" t="str">
        <f t="shared" si="11"/>
        <v>DanielMGirard</v>
      </c>
      <c r="V25" t="s">
        <v>227</v>
      </c>
      <c r="W25" t="str">
        <f t="shared" si="12"/>
        <v>304-</v>
      </c>
      <c r="X25" t="str">
        <f t="shared" si="13"/>
        <v>870</v>
      </c>
      <c r="Y25" t="str">
        <f t="shared" si="14"/>
        <v>-4512</v>
      </c>
      <c r="Z25" t="str">
        <f>SUBSTITUTE(V25,"-","|",2)</f>
        <v>304-870|4512</v>
      </c>
      <c r="AA25" t="str">
        <f>LEFT(V25,3)</f>
        <v>304</v>
      </c>
      <c r="AB25" t="str">
        <f>MID(V25,5,3)</f>
        <v>870</v>
      </c>
      <c r="AC25" t="str">
        <f>RIGHT(V25,4)</f>
        <v>4512</v>
      </c>
      <c r="AD25" s="3" t="s">
        <v>228</v>
      </c>
      <c r="AE25" s="3" t="str">
        <f t="shared" si="15"/>
        <v>7333</v>
      </c>
    </row>
    <row r="26" spans="1:31">
      <c r="A26" t="s">
        <v>229</v>
      </c>
      <c r="B26" t="str">
        <f t="shared" si="1"/>
        <v>Queen</v>
      </c>
      <c r="C26" t="s">
        <v>132</v>
      </c>
      <c r="D26" t="s">
        <v>230</v>
      </c>
      <c r="E26" t="str">
        <f t="shared" si="2"/>
        <v>Watson</v>
      </c>
      <c r="F26" t="str">
        <f t="shared" si="3"/>
        <v>QUEENWATSON</v>
      </c>
      <c r="G26" t="str">
        <f t="shared" si="4"/>
        <v>QUEENWATSON</v>
      </c>
      <c r="H26" t="str">
        <f t="shared" si="5"/>
        <v>QUE WATSON</v>
      </c>
      <c r="I26" t="str">
        <f t="shared" si="6"/>
        <v>QUE.W</v>
      </c>
      <c r="J26" t="s">
        <v>32</v>
      </c>
      <c r="K26" t="s">
        <v>231</v>
      </c>
      <c r="L26" t="s">
        <v>232</v>
      </c>
      <c r="M26" t="s">
        <v>45</v>
      </c>
      <c r="N26">
        <v>90017</v>
      </c>
      <c r="O26" t="str">
        <f t="shared" si="7"/>
        <v>90017</v>
      </c>
      <c r="P26" t="str">
        <f t="shared" si="0"/>
        <v>1697 Fincham Road, Los Angeles, CA, 90017</v>
      </c>
      <c r="Q26" t="s">
        <v>233</v>
      </c>
      <c r="R26" t="str">
        <f t="shared" si="8"/>
        <v>QueenRWatson</v>
      </c>
      <c r="S26" t="str">
        <f t="shared" si="9"/>
        <v>gmail.com</v>
      </c>
      <c r="T26" t="str">
        <f t="shared" si="10"/>
        <v>gmail</v>
      </c>
      <c r="U26" t="str">
        <f t="shared" si="11"/>
        <v>QueenRWatson</v>
      </c>
      <c r="V26" t="s">
        <v>234</v>
      </c>
      <c r="W26" t="str">
        <f t="shared" si="12"/>
        <v>760-</v>
      </c>
      <c r="X26" t="str">
        <f t="shared" si="13"/>
        <v>488</v>
      </c>
      <c r="Y26" t="str">
        <f t="shared" si="14"/>
        <v>-9781</v>
      </c>
      <c r="Z26" t="str">
        <f>SUBSTITUTE(V26,"-","|",2)</f>
        <v>760-488|9781</v>
      </c>
      <c r="AA26" t="str">
        <f>LEFT(V26,3)</f>
        <v>760</v>
      </c>
      <c r="AB26" t="str">
        <f>MID(V26,5,3)</f>
        <v>488</v>
      </c>
      <c r="AC26" t="str">
        <f>RIGHT(V26,4)</f>
        <v>9781</v>
      </c>
      <c r="AD26" s="3" t="s">
        <v>235</v>
      </c>
      <c r="AE26" s="3" t="str">
        <f t="shared" si="15"/>
        <v>6756</v>
      </c>
    </row>
    <row r="27" spans="1:31">
      <c r="A27" t="s">
        <v>236</v>
      </c>
      <c r="B27" t="str">
        <f t="shared" si="1"/>
        <v>Lisa</v>
      </c>
      <c r="C27" t="s">
        <v>58</v>
      </c>
      <c r="D27" t="s">
        <v>237</v>
      </c>
      <c r="E27" t="str">
        <f t="shared" si="2"/>
        <v>Taylor</v>
      </c>
      <c r="F27" t="str">
        <f t="shared" si="3"/>
        <v>LISATAYLOR</v>
      </c>
      <c r="G27" t="str">
        <f t="shared" si="4"/>
        <v>LISATAYLOR</v>
      </c>
      <c r="H27" t="str">
        <f t="shared" si="5"/>
        <v>LIS TAYLOR</v>
      </c>
      <c r="I27" t="str">
        <f t="shared" si="6"/>
        <v>LIS.T</v>
      </c>
      <c r="J27" t="s">
        <v>32</v>
      </c>
      <c r="K27" t="s">
        <v>238</v>
      </c>
      <c r="L27" t="s">
        <v>239</v>
      </c>
      <c r="M27" t="s">
        <v>104</v>
      </c>
      <c r="N27">
        <v>10601</v>
      </c>
      <c r="O27" t="str">
        <f t="shared" si="7"/>
        <v>10601</v>
      </c>
      <c r="P27" t="str">
        <f t="shared" si="0"/>
        <v>3132 Deans Lane, White Plains, NY, 10601</v>
      </c>
      <c r="Q27" t="s">
        <v>240</v>
      </c>
      <c r="R27" t="str">
        <f t="shared" si="8"/>
        <v>LisaMTaylor</v>
      </c>
      <c r="S27" t="str">
        <f t="shared" si="9"/>
        <v>gmail.com</v>
      </c>
      <c r="T27" t="str">
        <f t="shared" si="10"/>
        <v>gmail</v>
      </c>
      <c r="U27" t="str">
        <f t="shared" si="11"/>
        <v>LisaMTaylor</v>
      </c>
      <c r="V27" t="s">
        <v>241</v>
      </c>
      <c r="W27" t="str">
        <f t="shared" si="12"/>
        <v>914-</v>
      </c>
      <c r="X27" t="str">
        <f t="shared" si="13"/>
        <v>890</v>
      </c>
      <c r="Y27" t="str">
        <f t="shared" si="14"/>
        <v>-1038</v>
      </c>
      <c r="Z27" t="str">
        <f>SUBSTITUTE(V27,"-","|",2)</f>
        <v>914-890|1038</v>
      </c>
      <c r="AA27" t="str">
        <f>LEFT(V27,3)</f>
        <v>914</v>
      </c>
      <c r="AB27" t="str">
        <f>MID(V27,5,3)</f>
        <v>890</v>
      </c>
      <c r="AC27" t="str">
        <f>RIGHT(V27,4)</f>
        <v>1038</v>
      </c>
      <c r="AD27" s="3" t="s">
        <v>242</v>
      </c>
      <c r="AE27" s="3" t="str">
        <f t="shared" si="15"/>
        <v>754</v>
      </c>
    </row>
    <row r="28" spans="1:31">
      <c r="A28" t="s">
        <v>243</v>
      </c>
      <c r="B28" t="str">
        <f t="shared" si="1"/>
        <v>Efrain</v>
      </c>
      <c r="C28" t="s">
        <v>67</v>
      </c>
      <c r="D28" t="s">
        <v>244</v>
      </c>
      <c r="E28" t="str">
        <f t="shared" si="2"/>
        <v>Barrick</v>
      </c>
      <c r="F28" t="str">
        <f t="shared" si="3"/>
        <v>EFRAINBARRICK</v>
      </c>
      <c r="G28" t="str">
        <f t="shared" si="4"/>
        <v>EFRAINBARRICK</v>
      </c>
      <c r="H28" t="str">
        <f t="shared" si="5"/>
        <v>EFR BARRICK</v>
      </c>
      <c r="I28" t="str">
        <f t="shared" si="6"/>
        <v>EFR.B</v>
      </c>
      <c r="J28" t="s">
        <v>42</v>
      </c>
      <c r="K28" t="s">
        <v>245</v>
      </c>
      <c r="L28" t="s">
        <v>246</v>
      </c>
      <c r="M28" t="s">
        <v>247</v>
      </c>
      <c r="N28">
        <v>30338</v>
      </c>
      <c r="O28" t="str">
        <f t="shared" si="7"/>
        <v>30338</v>
      </c>
      <c r="P28" t="str">
        <f t="shared" si="0"/>
        <v>3277 Elk Creek Road, Dunwoody, GA, 30338</v>
      </c>
      <c r="Q28" t="s">
        <v>248</v>
      </c>
      <c r="R28" t="str">
        <f t="shared" si="8"/>
        <v>EfrainDBarrick</v>
      </c>
      <c r="S28" t="str">
        <f t="shared" si="9"/>
        <v>aol.com</v>
      </c>
      <c r="T28" t="str">
        <f t="shared" si="10"/>
        <v>aol</v>
      </c>
      <c r="U28" t="str">
        <f t="shared" si="11"/>
        <v>EfrainDBarrick</v>
      </c>
      <c r="V28" t="s">
        <v>249</v>
      </c>
      <c r="W28" t="str">
        <f t="shared" si="12"/>
        <v>770-</v>
      </c>
      <c r="X28" t="str">
        <f t="shared" si="13"/>
        <v>522</v>
      </c>
      <c r="Y28" t="str">
        <f t="shared" si="14"/>
        <v>-8310</v>
      </c>
      <c r="Z28" t="str">
        <f>SUBSTITUTE(V28,"-","|",2)</f>
        <v>770-522|8310</v>
      </c>
      <c r="AA28" t="str">
        <f>LEFT(V28,3)</f>
        <v>770</v>
      </c>
      <c r="AB28" t="str">
        <f>MID(V28,5,3)</f>
        <v>522</v>
      </c>
      <c r="AC28" t="str">
        <f>RIGHT(V28,4)</f>
        <v>8310</v>
      </c>
      <c r="AD28" s="3" t="s">
        <v>250</v>
      </c>
      <c r="AE28" s="3" t="str">
        <f t="shared" si="15"/>
        <v>855</v>
      </c>
    </row>
    <row r="29" spans="1:31">
      <c r="A29" t="s">
        <v>251</v>
      </c>
      <c r="B29" t="str">
        <f t="shared" si="1"/>
        <v>Robert</v>
      </c>
      <c r="C29" t="s">
        <v>252</v>
      </c>
      <c r="D29" t="s">
        <v>253</v>
      </c>
      <c r="E29" t="str">
        <f t="shared" si="2"/>
        <v>Saladin</v>
      </c>
      <c r="F29" t="str">
        <f t="shared" si="3"/>
        <v>ROBERTSALADIN</v>
      </c>
      <c r="G29" t="str">
        <f t="shared" si="4"/>
        <v>ROBERTSALADIN</v>
      </c>
      <c r="H29" t="str">
        <f t="shared" si="5"/>
        <v>ROB SALADIN</v>
      </c>
      <c r="I29" t="str">
        <f t="shared" si="6"/>
        <v>ROB.S</v>
      </c>
      <c r="J29" t="s">
        <v>42</v>
      </c>
      <c r="K29" t="s">
        <v>254</v>
      </c>
      <c r="L29" t="s">
        <v>255</v>
      </c>
      <c r="M29" t="s">
        <v>256</v>
      </c>
      <c r="N29">
        <v>27893</v>
      </c>
      <c r="O29" t="str">
        <f t="shared" si="7"/>
        <v>27893</v>
      </c>
      <c r="P29" t="str">
        <f t="shared" si="0"/>
        <v>2840 Yorkshire Circle, Wilson, NC, 27893</v>
      </c>
      <c r="Q29" t="s">
        <v>257</v>
      </c>
      <c r="R29" t="str">
        <f t="shared" si="8"/>
        <v>RobertZSaladin</v>
      </c>
      <c r="S29" t="str">
        <f t="shared" si="9"/>
        <v>aol.com</v>
      </c>
      <c r="T29" t="str">
        <f t="shared" si="10"/>
        <v>aol</v>
      </c>
      <c r="U29" t="str">
        <f t="shared" si="11"/>
        <v>RobertZSaladin</v>
      </c>
      <c r="V29" t="s">
        <v>258</v>
      </c>
      <c r="W29" t="str">
        <f t="shared" si="12"/>
        <v>252-</v>
      </c>
      <c r="X29" t="str">
        <f t="shared" si="13"/>
        <v>296</v>
      </c>
      <c r="Y29" t="str">
        <f t="shared" si="14"/>
        <v>-0325</v>
      </c>
      <c r="Z29" t="str">
        <f>SUBSTITUTE(V29,"-","|",2)</f>
        <v>252-296|0325</v>
      </c>
      <c r="AA29" t="str">
        <f>LEFT(V29,3)</f>
        <v>252</v>
      </c>
      <c r="AB29" t="str">
        <f>MID(V29,5,3)</f>
        <v>296</v>
      </c>
      <c r="AC29" t="str">
        <f>RIGHT(V29,4)</f>
        <v>0325</v>
      </c>
      <c r="AD29" s="3" t="s">
        <v>259</v>
      </c>
      <c r="AE29" s="3" t="str">
        <f t="shared" si="15"/>
        <v>2433</v>
      </c>
    </row>
    <row r="30" spans="1:31">
      <c r="A30" t="s">
        <v>260</v>
      </c>
      <c r="B30" t="str">
        <f t="shared" si="1"/>
        <v>Cynthia</v>
      </c>
      <c r="C30" t="s">
        <v>261</v>
      </c>
      <c r="D30" t="s">
        <v>262</v>
      </c>
      <c r="E30" t="str">
        <f t="shared" si="2"/>
        <v>Reyes</v>
      </c>
      <c r="F30" t="str">
        <f t="shared" si="3"/>
        <v>CYNTHIAREYES</v>
      </c>
      <c r="G30" t="str">
        <f t="shared" si="4"/>
        <v>CYNTHIAREYES</v>
      </c>
      <c r="H30" t="str">
        <f t="shared" si="5"/>
        <v>CYN REYES</v>
      </c>
      <c r="I30" t="str">
        <f t="shared" si="6"/>
        <v>CYN.R</v>
      </c>
      <c r="J30" t="s">
        <v>32</v>
      </c>
      <c r="K30" t="s">
        <v>263</v>
      </c>
      <c r="L30" t="s">
        <v>264</v>
      </c>
      <c r="M30" t="s">
        <v>265</v>
      </c>
      <c r="N30">
        <v>2334</v>
      </c>
      <c r="O30" t="str">
        <f t="shared" si="7"/>
        <v>02334</v>
      </c>
      <c r="P30" t="str">
        <f t="shared" si="0"/>
        <v>4409 Kovar Road, Easton, MA, 2334</v>
      </c>
      <c r="Q30" t="s">
        <v>266</v>
      </c>
      <c r="R30" t="str">
        <f t="shared" si="8"/>
        <v>CynthiaWReyes</v>
      </c>
      <c r="S30" t="str">
        <f t="shared" si="9"/>
        <v>hotmail.com</v>
      </c>
      <c r="T30" t="str">
        <f t="shared" si="10"/>
        <v>hotmail</v>
      </c>
      <c r="U30" t="str">
        <f t="shared" si="11"/>
        <v>CynthiaWReyes</v>
      </c>
      <c r="V30" t="s">
        <v>267</v>
      </c>
      <c r="W30" t="str">
        <f t="shared" si="12"/>
        <v>508-</v>
      </c>
      <c r="X30" t="str">
        <f t="shared" si="13"/>
        <v>565</v>
      </c>
      <c r="Y30" t="str">
        <f t="shared" si="14"/>
        <v>-7448</v>
      </c>
      <c r="Z30" t="str">
        <f>SUBSTITUTE(V30,"-","|",2)</f>
        <v>508-565|7448</v>
      </c>
      <c r="AA30" t="str">
        <f>LEFT(V30,3)</f>
        <v>508</v>
      </c>
      <c r="AB30" t="str">
        <f>MID(V30,5,3)</f>
        <v>565</v>
      </c>
      <c r="AC30" t="str">
        <f>RIGHT(V30,4)</f>
        <v>7448</v>
      </c>
      <c r="AD30" s="3" t="s">
        <v>268</v>
      </c>
      <c r="AE30" s="3" t="str">
        <f t="shared" si="15"/>
        <v>2471</v>
      </c>
    </row>
    <row r="31" spans="1:31">
      <c r="A31" t="s">
        <v>269</v>
      </c>
      <c r="B31" t="str">
        <f t="shared" si="1"/>
        <v>Patricia</v>
      </c>
      <c r="C31" t="s">
        <v>270</v>
      </c>
      <c r="D31" t="s">
        <v>271</v>
      </c>
      <c r="E31" t="str">
        <f t="shared" si="2"/>
        <v>Alderete</v>
      </c>
      <c r="F31" t="str">
        <f t="shared" si="3"/>
        <v>PATRICIAALDERETE</v>
      </c>
      <c r="G31" t="str">
        <f t="shared" si="4"/>
        <v>PATRICIAALDERETE</v>
      </c>
      <c r="H31" t="str">
        <f t="shared" si="5"/>
        <v>PAT ALDERETE</v>
      </c>
      <c r="I31" t="str">
        <f t="shared" si="6"/>
        <v>PAT.A</v>
      </c>
      <c r="J31" t="s">
        <v>32</v>
      </c>
      <c r="K31" t="s">
        <v>272</v>
      </c>
      <c r="L31" t="s">
        <v>273</v>
      </c>
      <c r="M31" t="s">
        <v>256</v>
      </c>
      <c r="N31">
        <v>28202</v>
      </c>
      <c r="O31" t="str">
        <f t="shared" si="7"/>
        <v>28202</v>
      </c>
      <c r="P31" t="str">
        <f t="shared" si="0"/>
        <v>3503 Hannah Street, Charlotte, NC, 28202</v>
      </c>
      <c r="Q31" t="s">
        <v>274</v>
      </c>
      <c r="R31" t="str">
        <f t="shared" si="8"/>
        <v>PatriciaVAlderete</v>
      </c>
      <c r="S31" t="str">
        <f t="shared" si="9"/>
        <v>gmail.com</v>
      </c>
      <c r="T31" t="str">
        <f t="shared" si="10"/>
        <v>gmail</v>
      </c>
      <c r="U31" t="str">
        <f t="shared" si="11"/>
        <v>PatriciaVAlderete</v>
      </c>
      <c r="V31" t="s">
        <v>275</v>
      </c>
      <c r="W31" t="str">
        <f t="shared" si="12"/>
        <v>828-</v>
      </c>
      <c r="X31" t="str">
        <f t="shared" si="13"/>
        <v>426</v>
      </c>
      <c r="Y31" t="str">
        <f t="shared" si="14"/>
        <v>-4327</v>
      </c>
      <c r="Z31" t="str">
        <f>SUBSTITUTE(V31,"-","|",2)</f>
        <v>828-426|4327</v>
      </c>
      <c r="AA31" t="str">
        <f>LEFT(V31,3)</f>
        <v>828</v>
      </c>
      <c r="AB31" t="str">
        <f>MID(V31,5,3)</f>
        <v>426</v>
      </c>
      <c r="AC31" t="str">
        <f>RIGHT(V31,4)</f>
        <v>4327</v>
      </c>
      <c r="AD31" s="3" t="s">
        <v>276</v>
      </c>
      <c r="AE31" s="3" t="str">
        <f t="shared" si="15"/>
        <v>3161</v>
      </c>
    </row>
    <row r="32" spans="1:31">
      <c r="A32" t="s">
        <v>277</v>
      </c>
      <c r="B32" t="str">
        <f t="shared" si="1"/>
        <v>Cyrstal</v>
      </c>
      <c r="C32" t="s">
        <v>132</v>
      </c>
      <c r="D32" t="s">
        <v>278</v>
      </c>
      <c r="E32" t="str">
        <f t="shared" si="2"/>
        <v>Reid</v>
      </c>
      <c r="F32" t="str">
        <f t="shared" si="3"/>
        <v>CYRSTALREID</v>
      </c>
      <c r="G32" t="str">
        <f t="shared" si="4"/>
        <v>CYRSTALREID</v>
      </c>
      <c r="H32" t="str">
        <f t="shared" si="5"/>
        <v>CYR REID</v>
      </c>
      <c r="I32" t="str">
        <f t="shared" si="6"/>
        <v>CYR.R</v>
      </c>
      <c r="J32" t="s">
        <v>32</v>
      </c>
      <c r="K32" t="s">
        <v>279</v>
      </c>
      <c r="L32" t="s">
        <v>273</v>
      </c>
      <c r="M32" t="s">
        <v>256</v>
      </c>
      <c r="N32">
        <v>28202</v>
      </c>
      <c r="O32" t="str">
        <f t="shared" si="7"/>
        <v>28202</v>
      </c>
      <c r="P32" t="str">
        <f t="shared" si="0"/>
        <v>205 Red Dog Road, Charlotte, NC, 28202</v>
      </c>
      <c r="Q32" t="s">
        <v>280</v>
      </c>
      <c r="R32" t="str">
        <f t="shared" si="8"/>
        <v>CyrstalRReid</v>
      </c>
      <c r="S32" t="str">
        <f t="shared" si="9"/>
        <v>aol.com</v>
      </c>
      <c r="T32" t="str">
        <f t="shared" si="10"/>
        <v>aol</v>
      </c>
      <c r="U32" t="str">
        <f t="shared" si="11"/>
        <v>CyrstalRReid</v>
      </c>
      <c r="V32" t="s">
        <v>281</v>
      </c>
      <c r="W32" t="str">
        <f t="shared" si="12"/>
        <v>704-</v>
      </c>
      <c r="X32" t="str">
        <f t="shared" si="13"/>
        <v>330</v>
      </c>
      <c r="Y32" t="str">
        <f t="shared" si="14"/>
        <v>-8800</v>
      </c>
      <c r="Z32" t="str">
        <f>SUBSTITUTE(V32,"-","|",2)</f>
        <v>704-330|8800</v>
      </c>
      <c r="AA32" t="str">
        <f>LEFT(V32,3)</f>
        <v>704</v>
      </c>
      <c r="AB32" t="str">
        <f>MID(V32,5,3)</f>
        <v>330</v>
      </c>
      <c r="AC32" t="str">
        <f>RIGHT(V32,4)</f>
        <v>8800</v>
      </c>
      <c r="AD32" s="3" t="s">
        <v>282</v>
      </c>
      <c r="AE32" s="3" t="str">
        <f t="shared" si="15"/>
        <v>835</v>
      </c>
    </row>
    <row r="33" spans="1:31">
      <c r="A33" t="s">
        <v>283</v>
      </c>
      <c r="B33" t="str">
        <f t="shared" si="1"/>
        <v>Jonathan</v>
      </c>
      <c r="C33" t="s">
        <v>182</v>
      </c>
      <c r="D33" t="s">
        <v>284</v>
      </c>
      <c r="E33" t="str">
        <f t="shared" si="2"/>
        <v>Tubbs</v>
      </c>
      <c r="F33" t="str">
        <f t="shared" si="3"/>
        <v>JONATHANTUBBS</v>
      </c>
      <c r="G33" t="str">
        <f t="shared" si="4"/>
        <v>JONATHANTUBBS</v>
      </c>
      <c r="H33" t="str">
        <f t="shared" si="5"/>
        <v>JON TUBBS</v>
      </c>
      <c r="I33" t="str">
        <f t="shared" si="6"/>
        <v>JON.T</v>
      </c>
      <c r="J33" t="s">
        <v>42</v>
      </c>
      <c r="K33" t="s">
        <v>285</v>
      </c>
      <c r="L33" t="s">
        <v>127</v>
      </c>
      <c r="M33" t="s">
        <v>88</v>
      </c>
      <c r="N33">
        <v>75207</v>
      </c>
      <c r="O33" t="str">
        <f t="shared" si="7"/>
        <v>75207</v>
      </c>
      <c r="P33" t="str">
        <f t="shared" si="0"/>
        <v>4339 Oakridge Lane, Dallas, TX, 75207</v>
      </c>
      <c r="Q33" t="s">
        <v>286</v>
      </c>
      <c r="R33" t="str">
        <f t="shared" si="8"/>
        <v>JonathanCTubbs</v>
      </c>
      <c r="S33" t="str">
        <f t="shared" si="9"/>
        <v>gmail.com</v>
      </c>
      <c r="T33" t="str">
        <f t="shared" si="10"/>
        <v>gmail</v>
      </c>
      <c r="U33" t="str">
        <f t="shared" si="11"/>
        <v>JonathanCTubbs</v>
      </c>
      <c r="V33" t="s">
        <v>287</v>
      </c>
      <c r="W33" t="str">
        <f t="shared" si="12"/>
        <v>469-</v>
      </c>
      <c r="X33" t="str">
        <f t="shared" si="13"/>
        <v>916</v>
      </c>
      <c r="Y33" t="str">
        <f t="shared" si="14"/>
        <v>-2924</v>
      </c>
      <c r="Z33" t="str">
        <f>SUBSTITUTE(V33,"-","|",2)</f>
        <v>469-916|2924</v>
      </c>
      <c r="AA33" t="str">
        <f>LEFT(V33,3)</f>
        <v>469</v>
      </c>
      <c r="AB33" t="str">
        <f>MID(V33,5,3)</f>
        <v>916</v>
      </c>
      <c r="AC33" t="str">
        <f>RIGHT(V33,4)</f>
        <v>2924</v>
      </c>
      <c r="AD33" s="3" t="s">
        <v>288</v>
      </c>
      <c r="AE33" s="3" t="str">
        <f t="shared" si="15"/>
        <v>436</v>
      </c>
    </row>
    <row r="34" spans="1:31">
      <c r="A34" t="s">
        <v>289</v>
      </c>
      <c r="B34" t="str">
        <f t="shared" si="1"/>
        <v>Vonda</v>
      </c>
      <c r="C34" t="s">
        <v>182</v>
      </c>
      <c r="D34" t="s">
        <v>290</v>
      </c>
      <c r="E34" t="str">
        <f t="shared" si="2"/>
        <v>Orbison</v>
      </c>
      <c r="F34" t="str">
        <f t="shared" si="3"/>
        <v>VONDAORBISON</v>
      </c>
      <c r="G34" t="str">
        <f t="shared" si="4"/>
        <v>VONDAORBISON</v>
      </c>
      <c r="H34" t="str">
        <f t="shared" si="5"/>
        <v>VON ORBISON</v>
      </c>
      <c r="I34" t="str">
        <f t="shared" si="6"/>
        <v>VON.O</v>
      </c>
      <c r="J34" t="s">
        <v>32</v>
      </c>
      <c r="K34" t="s">
        <v>291</v>
      </c>
      <c r="L34" t="s">
        <v>292</v>
      </c>
      <c r="M34" t="s">
        <v>265</v>
      </c>
      <c r="N34">
        <v>2110</v>
      </c>
      <c r="O34" t="str">
        <f t="shared" si="7"/>
        <v>02110</v>
      </c>
      <c r="P34" t="str">
        <f t="shared" si="0"/>
        <v>791 Levy Court, Boston, MA, 2110</v>
      </c>
      <c r="Q34" t="s">
        <v>293</v>
      </c>
      <c r="R34" t="str">
        <f t="shared" si="8"/>
        <v>VondaCOrbison</v>
      </c>
      <c r="S34" t="str">
        <f t="shared" si="9"/>
        <v>hotmail.com</v>
      </c>
      <c r="T34" t="str">
        <f t="shared" si="10"/>
        <v>hotmail</v>
      </c>
      <c r="U34" t="str">
        <f t="shared" si="11"/>
        <v>VondaCOrbison</v>
      </c>
      <c r="V34" t="s">
        <v>294</v>
      </c>
      <c r="W34" t="str">
        <f t="shared" si="12"/>
        <v>978-</v>
      </c>
      <c r="X34" t="str">
        <f t="shared" si="13"/>
        <v>709</v>
      </c>
      <c r="Y34" t="str">
        <f t="shared" si="14"/>
        <v>-5147</v>
      </c>
      <c r="Z34" t="str">
        <f>SUBSTITUTE(V34,"-","|",2)</f>
        <v>978-709|5147</v>
      </c>
      <c r="AA34" t="str">
        <f>LEFT(V34,3)</f>
        <v>978</v>
      </c>
      <c r="AB34" t="str">
        <f>MID(V34,5,3)</f>
        <v>709</v>
      </c>
      <c r="AC34" t="str">
        <f>RIGHT(V34,4)</f>
        <v>5147</v>
      </c>
      <c r="AD34" s="3" t="s">
        <v>295</v>
      </c>
      <c r="AE34" s="3" t="str">
        <f t="shared" si="15"/>
        <v>4788</v>
      </c>
    </row>
    <row r="35" spans="1:31">
      <c r="A35" t="s">
        <v>296</v>
      </c>
      <c r="B35" t="str">
        <f t="shared" si="1"/>
        <v>Paula</v>
      </c>
      <c r="C35" t="s">
        <v>297</v>
      </c>
      <c r="D35" t="s">
        <v>298</v>
      </c>
      <c r="E35" t="str">
        <f t="shared" si="2"/>
        <v>Osborn</v>
      </c>
      <c r="F35" t="str">
        <f t="shared" si="3"/>
        <v>PAULAOSBORN</v>
      </c>
      <c r="G35" t="str">
        <f t="shared" si="4"/>
        <v>PAULAOSBORN</v>
      </c>
      <c r="H35" t="str">
        <f t="shared" si="5"/>
        <v>PAU OSBORN</v>
      </c>
      <c r="I35" t="str">
        <f t="shared" si="6"/>
        <v>PAU.O</v>
      </c>
      <c r="J35" t="s">
        <v>32</v>
      </c>
      <c r="K35" t="s">
        <v>299</v>
      </c>
      <c r="L35" t="s">
        <v>300</v>
      </c>
      <c r="M35" t="s">
        <v>301</v>
      </c>
      <c r="N35">
        <v>43215</v>
      </c>
      <c r="O35" t="str">
        <f t="shared" si="7"/>
        <v>43215</v>
      </c>
      <c r="P35" t="str">
        <f t="shared" si="0"/>
        <v>3544 Old House Drive, Columbus, OH, 43215</v>
      </c>
      <c r="Q35" t="s">
        <v>302</v>
      </c>
      <c r="R35" t="str">
        <f t="shared" si="8"/>
        <v>PaulaTOsborn</v>
      </c>
      <c r="S35" t="str">
        <f t="shared" si="9"/>
        <v>hotmail.com</v>
      </c>
      <c r="T35" t="str">
        <f t="shared" si="10"/>
        <v>hotmail</v>
      </c>
      <c r="U35" t="str">
        <f t="shared" si="11"/>
        <v>PaulaTOsborn</v>
      </c>
      <c r="V35" t="s">
        <v>303</v>
      </c>
      <c r="W35" t="str">
        <f t="shared" si="12"/>
        <v>740-</v>
      </c>
      <c r="X35" t="str">
        <f t="shared" si="13"/>
        <v>879</v>
      </c>
      <c r="Y35" t="str">
        <f t="shared" si="14"/>
        <v>-2454</v>
      </c>
      <c r="Z35" t="str">
        <f>SUBSTITUTE(V35,"-","|",2)</f>
        <v>740-879|2454</v>
      </c>
      <c r="AA35" t="str">
        <f>LEFT(V35,3)</f>
        <v>740</v>
      </c>
      <c r="AB35" t="str">
        <f>MID(V35,5,3)</f>
        <v>879</v>
      </c>
      <c r="AC35" t="str">
        <f>RIGHT(V35,4)</f>
        <v>2454</v>
      </c>
      <c r="AD35" s="3" t="s">
        <v>304</v>
      </c>
      <c r="AE35" s="3" t="str">
        <f t="shared" si="15"/>
        <v>501</v>
      </c>
    </row>
    <row r="36" spans="1:31">
      <c r="A36" t="s">
        <v>305</v>
      </c>
      <c r="B36" t="str">
        <f t="shared" si="1"/>
        <v>Lillie</v>
      </c>
      <c r="C36" t="s">
        <v>132</v>
      </c>
      <c r="D36" t="s">
        <v>306</v>
      </c>
      <c r="E36" t="str">
        <f t="shared" si="2"/>
        <v>Bohanon</v>
      </c>
      <c r="F36" t="str">
        <f t="shared" si="3"/>
        <v>LILLIEBOHANON</v>
      </c>
      <c r="G36" t="str">
        <f t="shared" si="4"/>
        <v>LILLIEBOHANON</v>
      </c>
      <c r="H36" t="str">
        <f t="shared" si="5"/>
        <v>LIL BOHANON</v>
      </c>
      <c r="I36" t="str">
        <f t="shared" si="6"/>
        <v>LIL.B</v>
      </c>
      <c r="J36" t="s">
        <v>32</v>
      </c>
      <c r="K36" t="s">
        <v>307</v>
      </c>
      <c r="L36" t="s">
        <v>308</v>
      </c>
      <c r="M36" t="s">
        <v>53</v>
      </c>
      <c r="N36">
        <v>7102</v>
      </c>
      <c r="O36" t="str">
        <f t="shared" si="7"/>
        <v>07102</v>
      </c>
      <c r="P36" t="str">
        <f t="shared" si="0"/>
        <v>1899 Stonepot Road, Newark, NJ, 7102</v>
      </c>
      <c r="Q36" t="s">
        <v>309</v>
      </c>
      <c r="R36" t="str">
        <f t="shared" si="8"/>
        <v>LillieRBohanon</v>
      </c>
      <c r="S36" t="str">
        <f t="shared" si="9"/>
        <v>hotmail.com</v>
      </c>
      <c r="T36" t="str">
        <f t="shared" si="10"/>
        <v>hotmail</v>
      </c>
      <c r="U36" t="str">
        <f t="shared" si="11"/>
        <v>LillieRBohanon</v>
      </c>
      <c r="V36" t="s">
        <v>310</v>
      </c>
      <c r="W36" t="str">
        <f t="shared" si="12"/>
        <v>908-</v>
      </c>
      <c r="X36" t="str">
        <f t="shared" si="13"/>
        <v>458</v>
      </c>
      <c r="Y36" t="str">
        <f t="shared" si="14"/>
        <v>-6834</v>
      </c>
      <c r="Z36" t="str">
        <f>SUBSTITUTE(V36,"-","|",2)</f>
        <v>908-458|6834</v>
      </c>
      <c r="AA36" t="str">
        <f>LEFT(V36,3)</f>
        <v>908</v>
      </c>
      <c r="AB36" t="str">
        <f>MID(V36,5,3)</f>
        <v>458</v>
      </c>
      <c r="AC36" t="str">
        <f>RIGHT(V36,4)</f>
        <v>6834</v>
      </c>
      <c r="AD36" s="3" t="s">
        <v>311</v>
      </c>
      <c r="AE36" s="3" t="str">
        <f t="shared" si="15"/>
        <v>061</v>
      </c>
    </row>
    <row r="37" spans="1:31">
      <c r="A37" t="s">
        <v>312</v>
      </c>
      <c r="B37" t="str">
        <f t="shared" si="1"/>
        <v>Jane</v>
      </c>
      <c r="C37" t="s">
        <v>30</v>
      </c>
      <c r="D37" t="s">
        <v>313</v>
      </c>
      <c r="E37" t="str">
        <f t="shared" si="2"/>
        <v>Tapia</v>
      </c>
      <c r="F37" t="str">
        <f t="shared" si="3"/>
        <v>JANETAPIA</v>
      </c>
      <c r="G37" t="str">
        <f t="shared" si="4"/>
        <v>JANETAPIA</v>
      </c>
      <c r="H37" t="str">
        <f t="shared" si="5"/>
        <v>JAN TAPIA</v>
      </c>
      <c r="I37" t="str">
        <f t="shared" si="6"/>
        <v>JAN.T</v>
      </c>
      <c r="J37" t="s">
        <v>32</v>
      </c>
      <c r="K37" t="s">
        <v>314</v>
      </c>
      <c r="L37" t="s">
        <v>315</v>
      </c>
      <c r="M37" t="s">
        <v>200</v>
      </c>
      <c r="N37">
        <v>33901</v>
      </c>
      <c r="O37" t="str">
        <f t="shared" si="7"/>
        <v>33901</v>
      </c>
      <c r="P37" t="str">
        <f t="shared" si="0"/>
        <v>3257 Lunetta Street, Fort Myers, FL, 33901</v>
      </c>
      <c r="Q37" t="s">
        <v>316</v>
      </c>
      <c r="R37" t="str">
        <f t="shared" si="8"/>
        <v>JaneJTapia</v>
      </c>
      <c r="S37" t="str">
        <f t="shared" si="9"/>
        <v>hotmail.com</v>
      </c>
      <c r="T37" t="str">
        <f t="shared" si="10"/>
        <v>hotmail</v>
      </c>
      <c r="U37" t="str">
        <f t="shared" si="11"/>
        <v>JaneJTapia</v>
      </c>
      <c r="V37" t="s">
        <v>317</v>
      </c>
      <c r="W37" t="str">
        <f t="shared" si="12"/>
        <v>941-</v>
      </c>
      <c r="X37" t="str">
        <f t="shared" si="13"/>
        <v>326</v>
      </c>
      <c r="Y37" t="str">
        <f t="shared" si="14"/>
        <v>-9242</v>
      </c>
      <c r="Z37" t="str">
        <f>SUBSTITUTE(V37,"-","|",2)</f>
        <v>941-326|9242</v>
      </c>
      <c r="AA37" t="str">
        <f>LEFT(V37,3)</f>
        <v>941</v>
      </c>
      <c r="AB37" t="str">
        <f>MID(V37,5,3)</f>
        <v>326</v>
      </c>
      <c r="AC37" t="str">
        <f>RIGHT(V37,4)</f>
        <v>9242</v>
      </c>
      <c r="AD37" s="3" t="s">
        <v>318</v>
      </c>
      <c r="AE37" s="3" t="str">
        <f t="shared" si="15"/>
        <v>559</v>
      </c>
    </row>
    <row r="38" spans="1:31">
      <c r="A38" t="s">
        <v>319</v>
      </c>
      <c r="B38" t="str">
        <f t="shared" si="1"/>
        <v>Gene</v>
      </c>
      <c r="C38" t="s">
        <v>141</v>
      </c>
      <c r="D38" t="s">
        <v>320</v>
      </c>
      <c r="E38" t="str">
        <f t="shared" si="2"/>
        <v>Vaughn</v>
      </c>
      <c r="F38" t="str">
        <f t="shared" si="3"/>
        <v>GENEVAUGHN</v>
      </c>
      <c r="G38" t="str">
        <f t="shared" si="4"/>
        <v>GENEVAUGHN</v>
      </c>
      <c r="H38" t="str">
        <f t="shared" si="5"/>
        <v>GEN VAUGHN</v>
      </c>
      <c r="I38" t="str">
        <f t="shared" si="6"/>
        <v>GEN.V</v>
      </c>
      <c r="J38" t="s">
        <v>42</v>
      </c>
      <c r="K38" t="s">
        <v>321</v>
      </c>
      <c r="L38" t="s">
        <v>322</v>
      </c>
      <c r="M38" t="s">
        <v>323</v>
      </c>
      <c r="N38">
        <v>55792</v>
      </c>
      <c r="O38" t="str">
        <f t="shared" si="7"/>
        <v>55792</v>
      </c>
      <c r="P38" t="str">
        <f t="shared" si="0"/>
        <v>3811 Eagle Lane, Virginia, MN, 55792</v>
      </c>
      <c r="Q38" t="s">
        <v>324</v>
      </c>
      <c r="R38" t="str">
        <f t="shared" si="8"/>
        <v>GeneEVaughn</v>
      </c>
      <c r="S38" t="str">
        <f t="shared" si="9"/>
        <v>aol.com</v>
      </c>
      <c r="T38" t="str">
        <f t="shared" si="10"/>
        <v>aol</v>
      </c>
      <c r="U38" t="str">
        <f t="shared" si="11"/>
        <v>GeneEVaughn</v>
      </c>
      <c r="V38" t="s">
        <v>325</v>
      </c>
      <c r="W38" t="str">
        <f t="shared" si="12"/>
        <v>218-</v>
      </c>
      <c r="X38" t="str">
        <f t="shared" si="13"/>
        <v>741</v>
      </c>
      <c r="Y38" t="str">
        <f t="shared" si="14"/>
        <v>-8941</v>
      </c>
      <c r="Z38" t="str">
        <f>SUBSTITUTE(V38,"-","|",2)</f>
        <v>218-741|8941</v>
      </c>
      <c r="AA38" t="str">
        <f>LEFT(V38,3)</f>
        <v>218</v>
      </c>
      <c r="AB38" t="str">
        <f>MID(V38,5,3)</f>
        <v>741</v>
      </c>
      <c r="AC38" t="str">
        <f>RIGHT(V38,4)</f>
        <v>8941</v>
      </c>
      <c r="AD38" s="3" t="s">
        <v>326</v>
      </c>
      <c r="AE38" s="3" t="str">
        <f t="shared" si="15"/>
        <v>325</v>
      </c>
    </row>
    <row r="39" spans="1:31">
      <c r="A39" t="s">
        <v>327</v>
      </c>
      <c r="B39" t="str">
        <f t="shared" si="1"/>
        <v>Michele</v>
      </c>
      <c r="C39" t="s">
        <v>213</v>
      </c>
      <c r="D39" t="s">
        <v>328</v>
      </c>
      <c r="E39" t="str">
        <f t="shared" si="2"/>
        <v>Richard</v>
      </c>
      <c r="F39" t="str">
        <f t="shared" si="3"/>
        <v>MICHELERICHARD</v>
      </c>
      <c r="G39" t="str">
        <f t="shared" si="4"/>
        <v>MICHELERICHARD</v>
      </c>
      <c r="H39" t="str">
        <f t="shared" si="5"/>
        <v>MIC RICHARD</v>
      </c>
      <c r="I39" t="str">
        <f t="shared" si="6"/>
        <v>MIC.R</v>
      </c>
      <c r="J39" t="s">
        <v>32</v>
      </c>
      <c r="K39" t="s">
        <v>329</v>
      </c>
      <c r="L39" t="s">
        <v>330</v>
      </c>
      <c r="M39" t="s">
        <v>331</v>
      </c>
      <c r="N39">
        <v>99202</v>
      </c>
      <c r="O39" t="str">
        <f t="shared" si="7"/>
        <v>99202</v>
      </c>
      <c r="P39" t="str">
        <f t="shared" si="0"/>
        <v>4227 Poplar Chase Lane, Spokane, ID, 99202</v>
      </c>
      <c r="Q39" t="s">
        <v>332</v>
      </c>
      <c r="R39" t="str">
        <f t="shared" si="8"/>
        <v>MicheleARichard</v>
      </c>
      <c r="S39" t="str">
        <f t="shared" si="9"/>
        <v>aol.com</v>
      </c>
      <c r="T39" t="str">
        <f t="shared" si="10"/>
        <v>aol</v>
      </c>
      <c r="U39" t="str">
        <f t="shared" si="11"/>
        <v>MicheleARichard</v>
      </c>
      <c r="V39" t="s">
        <v>333</v>
      </c>
      <c r="W39" t="str">
        <f t="shared" si="12"/>
        <v>208-</v>
      </c>
      <c r="X39" t="str">
        <f t="shared" si="13"/>
        <v>305</v>
      </c>
      <c r="Y39" t="str">
        <f t="shared" si="14"/>
        <v>-3790</v>
      </c>
      <c r="Z39" t="str">
        <f>SUBSTITUTE(V39,"-","|",2)</f>
        <v>208-305|3790</v>
      </c>
      <c r="AA39" t="str">
        <f>LEFT(V39,3)</f>
        <v>208</v>
      </c>
      <c r="AB39" t="str">
        <f>MID(V39,5,3)</f>
        <v>305</v>
      </c>
      <c r="AC39" t="str">
        <f>RIGHT(V39,4)</f>
        <v>3790</v>
      </c>
      <c r="AD39" s="3" t="s">
        <v>334</v>
      </c>
      <c r="AE39" s="3" t="str">
        <f t="shared" si="15"/>
        <v>3987</v>
      </c>
    </row>
    <row r="40" spans="1:31">
      <c r="A40" t="s">
        <v>335</v>
      </c>
      <c r="B40" t="str">
        <f t="shared" si="1"/>
        <v>Anthony</v>
      </c>
      <c r="C40" t="s">
        <v>67</v>
      </c>
      <c r="D40" t="s">
        <v>336</v>
      </c>
      <c r="E40" t="str">
        <f t="shared" si="2"/>
        <v>Richmond</v>
      </c>
      <c r="F40" t="str">
        <f t="shared" si="3"/>
        <v>ANTHONYRICHMOND</v>
      </c>
      <c r="G40" t="str">
        <f t="shared" si="4"/>
        <v>ANTHONYRICHMOND</v>
      </c>
      <c r="H40" t="str">
        <f t="shared" si="5"/>
        <v>ANT RICHMOND</v>
      </c>
      <c r="I40" t="str">
        <f t="shared" si="6"/>
        <v>ANT.R</v>
      </c>
      <c r="J40" t="s">
        <v>42</v>
      </c>
      <c r="K40" t="s">
        <v>337</v>
      </c>
      <c r="L40" t="s">
        <v>338</v>
      </c>
      <c r="M40" t="s">
        <v>45</v>
      </c>
      <c r="N40">
        <v>94030</v>
      </c>
      <c r="O40" t="str">
        <f t="shared" si="7"/>
        <v>94030</v>
      </c>
      <c r="P40" t="str">
        <f t="shared" si="0"/>
        <v>4845 Rardin Drive, Millbrae, CA, 94030</v>
      </c>
      <c r="Q40" t="s">
        <v>339</v>
      </c>
      <c r="R40" t="str">
        <f t="shared" si="8"/>
        <v>AnthonyDRichmond</v>
      </c>
      <c r="S40" t="str">
        <f t="shared" si="9"/>
        <v>aol.com</v>
      </c>
      <c r="T40" t="str">
        <f t="shared" si="10"/>
        <v>aol</v>
      </c>
      <c r="U40" t="str">
        <f t="shared" si="11"/>
        <v>AnthonyDRichmond</v>
      </c>
      <c r="V40" t="s">
        <v>340</v>
      </c>
      <c r="W40" t="str">
        <f t="shared" si="12"/>
        <v>650-</v>
      </c>
      <c r="X40" t="str">
        <f t="shared" si="13"/>
        <v>652</v>
      </c>
      <c r="Y40" t="str">
        <f t="shared" si="14"/>
        <v>-2518</v>
      </c>
      <c r="Z40" t="str">
        <f>SUBSTITUTE(V40,"-","|",2)</f>
        <v>650-652|2518</v>
      </c>
      <c r="AA40" t="str">
        <f>LEFT(V40,3)</f>
        <v>650</v>
      </c>
      <c r="AB40" t="str">
        <f>MID(V40,5,3)</f>
        <v>652</v>
      </c>
      <c r="AC40" t="str">
        <f>RIGHT(V40,4)</f>
        <v>2518</v>
      </c>
      <c r="AD40" s="3" t="s">
        <v>341</v>
      </c>
      <c r="AE40" s="3" t="str">
        <f t="shared" si="15"/>
        <v>7814</v>
      </c>
    </row>
    <row r="41" spans="1:31">
      <c r="A41" t="s">
        <v>342</v>
      </c>
      <c r="B41" t="str">
        <f t="shared" si="1"/>
        <v>George</v>
      </c>
      <c r="C41" t="s">
        <v>343</v>
      </c>
      <c r="D41" t="s">
        <v>344</v>
      </c>
      <c r="E41" t="str">
        <f t="shared" si="2"/>
        <v>Barnes</v>
      </c>
      <c r="F41" t="str">
        <f t="shared" si="3"/>
        <v>GEORGEBARNES</v>
      </c>
      <c r="G41" t="str">
        <f t="shared" si="4"/>
        <v>GEORGEBARNES</v>
      </c>
      <c r="H41" t="str">
        <f t="shared" si="5"/>
        <v>GEO BARNES</v>
      </c>
      <c r="I41" t="str">
        <f t="shared" si="6"/>
        <v>GEO.B</v>
      </c>
      <c r="J41" t="s">
        <v>42</v>
      </c>
      <c r="K41" t="s">
        <v>345</v>
      </c>
      <c r="L41" t="s">
        <v>346</v>
      </c>
      <c r="M41" t="s">
        <v>347</v>
      </c>
      <c r="N41">
        <v>63101</v>
      </c>
      <c r="O41" t="str">
        <f t="shared" si="7"/>
        <v>63101</v>
      </c>
      <c r="P41" t="str">
        <f t="shared" si="0"/>
        <v>3428 Irving Place, Saint Louis, MO, 63101</v>
      </c>
      <c r="Q41" t="s">
        <v>348</v>
      </c>
      <c r="R41" t="str">
        <f t="shared" si="8"/>
        <v>GeorgeLBarnes</v>
      </c>
      <c r="S41" t="str">
        <f t="shared" si="9"/>
        <v>aol.com</v>
      </c>
      <c r="T41" t="str">
        <f t="shared" si="10"/>
        <v>aol</v>
      </c>
      <c r="U41" t="str">
        <f t="shared" si="11"/>
        <v>GeorgeLBarnes</v>
      </c>
      <c r="V41" t="s">
        <v>349</v>
      </c>
      <c r="W41" t="str">
        <f t="shared" si="12"/>
        <v>636-</v>
      </c>
      <c r="X41" t="str">
        <f t="shared" si="13"/>
        <v>243</v>
      </c>
      <c r="Y41" t="str">
        <f t="shared" si="14"/>
        <v>-3984</v>
      </c>
      <c r="Z41" t="str">
        <f>SUBSTITUTE(V41,"-","|",2)</f>
        <v>636-243|3984</v>
      </c>
      <c r="AA41" t="str">
        <f>LEFT(V41,3)</f>
        <v>636</v>
      </c>
      <c r="AB41" t="str">
        <f>MID(V41,5,3)</f>
        <v>243</v>
      </c>
      <c r="AC41" t="str">
        <f>RIGHT(V41,4)</f>
        <v>3984</v>
      </c>
      <c r="AD41" s="3" t="s">
        <v>350</v>
      </c>
      <c r="AE41" s="3" t="str">
        <f t="shared" si="15"/>
        <v>139</v>
      </c>
    </row>
    <row r="42" spans="1:31">
      <c r="A42" t="s">
        <v>351</v>
      </c>
      <c r="B42" t="str">
        <f t="shared" si="1"/>
        <v>Craig</v>
      </c>
      <c r="C42" t="s">
        <v>343</v>
      </c>
      <c r="D42" t="s">
        <v>352</v>
      </c>
      <c r="E42" t="str">
        <f t="shared" si="2"/>
        <v>Lowe</v>
      </c>
      <c r="F42" t="str">
        <f t="shared" si="3"/>
        <v>CRAIGLOWE</v>
      </c>
      <c r="G42" t="str">
        <f t="shared" si="4"/>
        <v>CRAIGLOWE</v>
      </c>
      <c r="H42" t="str">
        <f t="shared" si="5"/>
        <v>CRA LOWE</v>
      </c>
      <c r="I42" t="str">
        <f t="shared" si="6"/>
        <v>CRA.L</v>
      </c>
      <c r="J42" t="s">
        <v>42</v>
      </c>
      <c r="K42" t="s">
        <v>353</v>
      </c>
      <c r="L42" t="s">
        <v>354</v>
      </c>
      <c r="M42" t="s">
        <v>256</v>
      </c>
      <c r="N42">
        <v>27834</v>
      </c>
      <c r="O42" t="str">
        <f t="shared" si="7"/>
        <v>27834</v>
      </c>
      <c r="P42" t="str">
        <f t="shared" si="0"/>
        <v>726 Fort Street, Greenville, NC, 27834</v>
      </c>
      <c r="Q42" t="s">
        <v>355</v>
      </c>
      <c r="R42" t="str">
        <f t="shared" si="8"/>
        <v>CraigLLowe</v>
      </c>
      <c r="S42" t="str">
        <f t="shared" si="9"/>
        <v>aol.com</v>
      </c>
      <c r="T42" t="str">
        <f t="shared" si="10"/>
        <v>aol</v>
      </c>
      <c r="U42" t="str">
        <f t="shared" si="11"/>
        <v>CraigLLowe</v>
      </c>
      <c r="V42" t="s">
        <v>356</v>
      </c>
      <c r="W42" t="str">
        <f t="shared" si="12"/>
        <v>252-</v>
      </c>
      <c r="X42" t="str">
        <f t="shared" si="13"/>
        <v>902</v>
      </c>
      <c r="Y42" t="str">
        <f t="shared" si="14"/>
        <v>-3809</v>
      </c>
      <c r="Z42" t="str">
        <f>SUBSTITUTE(V42,"-","|",2)</f>
        <v>252-902|3809</v>
      </c>
      <c r="AA42" t="str">
        <f>LEFT(V42,3)</f>
        <v>252</v>
      </c>
      <c r="AB42" t="str">
        <f>MID(V42,5,3)</f>
        <v>902</v>
      </c>
      <c r="AC42" t="str">
        <f>RIGHT(V42,4)</f>
        <v>3809</v>
      </c>
      <c r="AD42" s="3" t="s">
        <v>357</v>
      </c>
      <c r="AE42" s="3" t="str">
        <f t="shared" si="15"/>
        <v>1481</v>
      </c>
    </row>
    <row r="43" spans="1:31">
      <c r="A43" t="s">
        <v>358</v>
      </c>
      <c r="B43" t="str">
        <f t="shared" si="1"/>
        <v>Jennifer</v>
      </c>
      <c r="C43" t="s">
        <v>30</v>
      </c>
      <c r="D43" t="s">
        <v>359</v>
      </c>
      <c r="E43" t="str">
        <f t="shared" si="2"/>
        <v>Nguyen</v>
      </c>
      <c r="F43" t="str">
        <f t="shared" si="3"/>
        <v>JENNIFERNGUYEN</v>
      </c>
      <c r="G43" t="str">
        <f t="shared" si="4"/>
        <v>JENNIFERNGUYEN</v>
      </c>
      <c r="H43" t="str">
        <f t="shared" si="5"/>
        <v>JEN NGUYEN</v>
      </c>
      <c r="I43" t="str">
        <f t="shared" si="6"/>
        <v>JEN.N</v>
      </c>
      <c r="J43" t="s">
        <v>32</v>
      </c>
      <c r="K43" t="s">
        <v>360</v>
      </c>
      <c r="L43" t="s">
        <v>232</v>
      </c>
      <c r="M43" t="s">
        <v>45</v>
      </c>
      <c r="N43">
        <v>90017</v>
      </c>
      <c r="O43" t="str">
        <f t="shared" si="7"/>
        <v>90017</v>
      </c>
      <c r="P43" t="str">
        <f t="shared" si="0"/>
        <v>4709 Brannon Street, Los Angeles, CA, 90017</v>
      </c>
      <c r="Q43" t="s">
        <v>361</v>
      </c>
      <c r="R43" t="str">
        <f t="shared" si="8"/>
        <v>JenniferJNguyen</v>
      </c>
      <c r="S43" t="str">
        <f t="shared" si="9"/>
        <v>gmail.com</v>
      </c>
      <c r="T43" t="str">
        <f t="shared" si="10"/>
        <v>gmail</v>
      </c>
      <c r="U43" t="str">
        <f t="shared" si="11"/>
        <v>JenniferJNguyen</v>
      </c>
      <c r="V43" t="s">
        <v>362</v>
      </c>
      <c r="W43" t="str">
        <f t="shared" si="12"/>
        <v>213-</v>
      </c>
      <c r="X43" t="str">
        <f t="shared" si="13"/>
        <v>303</v>
      </c>
      <c r="Y43" t="str">
        <f t="shared" si="14"/>
        <v>-6605</v>
      </c>
      <c r="Z43" t="str">
        <f>SUBSTITUTE(V43,"-","|",2)</f>
        <v>213-303|6605</v>
      </c>
      <c r="AA43" t="str">
        <f>LEFT(V43,3)</f>
        <v>213</v>
      </c>
      <c r="AB43" t="str">
        <f>MID(V43,5,3)</f>
        <v>303</v>
      </c>
      <c r="AC43" t="str">
        <f>RIGHT(V43,4)</f>
        <v>6605</v>
      </c>
      <c r="AD43" s="3" t="s">
        <v>363</v>
      </c>
      <c r="AE43" s="3" t="str">
        <f t="shared" si="15"/>
        <v>156</v>
      </c>
    </row>
    <row r="44" spans="1:31">
      <c r="A44" t="s">
        <v>364</v>
      </c>
      <c r="B44" t="str">
        <f t="shared" si="1"/>
        <v>Keith</v>
      </c>
      <c r="C44" t="s">
        <v>365</v>
      </c>
      <c r="D44" t="s">
        <v>366</v>
      </c>
      <c r="E44" t="str">
        <f t="shared" si="2"/>
        <v>Kizer</v>
      </c>
      <c r="F44" t="str">
        <f t="shared" si="3"/>
        <v>KEITHKIZER</v>
      </c>
      <c r="G44" t="str">
        <f t="shared" si="4"/>
        <v>KEITHKIZER</v>
      </c>
      <c r="H44" t="str">
        <f t="shared" si="5"/>
        <v>KEI KIZER</v>
      </c>
      <c r="I44" t="str">
        <f t="shared" si="6"/>
        <v>KEI.K</v>
      </c>
      <c r="J44" t="s">
        <v>42</v>
      </c>
      <c r="K44" t="s">
        <v>367</v>
      </c>
      <c r="L44" t="s">
        <v>368</v>
      </c>
      <c r="M44" t="s">
        <v>369</v>
      </c>
      <c r="N44">
        <v>85205</v>
      </c>
      <c r="O44" t="str">
        <f t="shared" si="7"/>
        <v>85205</v>
      </c>
      <c r="P44" t="str">
        <f t="shared" si="0"/>
        <v>977 East Avenue, Mesa, AZ, 85205</v>
      </c>
      <c r="Q44" t="s">
        <v>370</v>
      </c>
      <c r="R44" t="str">
        <f t="shared" si="8"/>
        <v>KeithGKizer</v>
      </c>
      <c r="S44" t="str">
        <f t="shared" si="9"/>
        <v>hotmail.com</v>
      </c>
      <c r="T44" t="str">
        <f t="shared" si="10"/>
        <v>hotmail</v>
      </c>
      <c r="U44" t="str">
        <f t="shared" si="11"/>
        <v>KeithGKizer</v>
      </c>
      <c r="V44" t="s">
        <v>371</v>
      </c>
      <c r="W44" t="str">
        <f t="shared" si="12"/>
        <v>480-</v>
      </c>
      <c r="X44" t="str">
        <f t="shared" si="13"/>
        <v>325</v>
      </c>
      <c r="Y44" t="str">
        <f t="shared" si="14"/>
        <v>-0082</v>
      </c>
      <c r="Z44" t="str">
        <f>SUBSTITUTE(V44,"-","|",2)</f>
        <v>480-325|0082</v>
      </c>
      <c r="AA44" t="str">
        <f>LEFT(V44,3)</f>
        <v>480</v>
      </c>
      <c r="AB44" t="str">
        <f>MID(V44,5,3)</f>
        <v>325</v>
      </c>
      <c r="AC44" t="str">
        <f>RIGHT(V44,4)</f>
        <v>0082</v>
      </c>
      <c r="AD44" s="3" t="s">
        <v>372</v>
      </c>
      <c r="AE44" s="3" t="str">
        <f t="shared" si="15"/>
        <v>356</v>
      </c>
    </row>
    <row r="45" spans="1:31">
      <c r="A45" t="s">
        <v>75</v>
      </c>
      <c r="B45" t="str">
        <f t="shared" si="1"/>
        <v>Joseph</v>
      </c>
      <c r="C45" t="s">
        <v>124</v>
      </c>
      <c r="D45" t="s">
        <v>373</v>
      </c>
      <c r="E45" t="str">
        <f t="shared" si="2"/>
        <v>Apodaca</v>
      </c>
      <c r="F45" t="str">
        <f t="shared" si="3"/>
        <v>JOSEPHAPODACA</v>
      </c>
      <c r="G45" t="str">
        <f t="shared" si="4"/>
        <v>JOSEPHAPODACA</v>
      </c>
      <c r="H45" t="str">
        <f t="shared" si="5"/>
        <v>JOS APODACA</v>
      </c>
      <c r="I45" t="str">
        <f t="shared" si="6"/>
        <v>JOS.A</v>
      </c>
      <c r="J45" t="s">
        <v>42</v>
      </c>
      <c r="K45" t="s">
        <v>374</v>
      </c>
      <c r="L45" t="s">
        <v>375</v>
      </c>
      <c r="M45" t="s">
        <v>62</v>
      </c>
      <c r="N45">
        <v>22963</v>
      </c>
      <c r="O45" t="str">
        <f t="shared" si="7"/>
        <v>22963</v>
      </c>
      <c r="P45" t="str">
        <f t="shared" si="0"/>
        <v>1792 Queens Lane, Palmyra, VA, 22963</v>
      </c>
      <c r="Q45" t="s">
        <v>376</v>
      </c>
      <c r="R45" t="str">
        <f t="shared" si="8"/>
        <v>JosephFApodaca</v>
      </c>
      <c r="S45" t="str">
        <f t="shared" si="9"/>
        <v>hotmail.com</v>
      </c>
      <c r="T45" t="str">
        <f t="shared" si="10"/>
        <v>hotmail</v>
      </c>
      <c r="U45" t="str">
        <f t="shared" si="11"/>
        <v>JosephFApodaca</v>
      </c>
      <c r="V45" t="s">
        <v>377</v>
      </c>
      <c r="W45" t="str">
        <f t="shared" si="12"/>
        <v>434-</v>
      </c>
      <c r="X45" t="str">
        <f t="shared" si="13"/>
        <v>591</v>
      </c>
      <c r="Y45" t="str">
        <f t="shared" si="14"/>
        <v>-6520</v>
      </c>
      <c r="Z45" t="str">
        <f>SUBSTITUTE(V45,"-","|",2)</f>
        <v>434-591|6520</v>
      </c>
      <c r="AA45" t="str">
        <f>LEFT(V45,3)</f>
        <v>434</v>
      </c>
      <c r="AB45" t="str">
        <f>MID(V45,5,3)</f>
        <v>591</v>
      </c>
      <c r="AC45" t="str">
        <f>RIGHT(V45,4)</f>
        <v>6520</v>
      </c>
      <c r="AD45" s="3" t="s">
        <v>378</v>
      </c>
      <c r="AE45" s="3" t="str">
        <f t="shared" si="15"/>
        <v>1851</v>
      </c>
    </row>
    <row r="46" spans="1:31">
      <c r="A46" t="s">
        <v>379</v>
      </c>
      <c r="B46" t="str">
        <f t="shared" si="1"/>
        <v>Melissa</v>
      </c>
      <c r="C46" t="s">
        <v>30</v>
      </c>
      <c r="D46" t="s">
        <v>50</v>
      </c>
      <c r="E46" t="str">
        <f t="shared" si="2"/>
        <v>Rodriguez</v>
      </c>
      <c r="F46" t="str">
        <f t="shared" si="3"/>
        <v>MELISSARODRIGUEZ</v>
      </c>
      <c r="G46" t="str">
        <f t="shared" si="4"/>
        <v>MELISSARODRIGUEZ</v>
      </c>
      <c r="H46" t="str">
        <f t="shared" si="5"/>
        <v>MEL RODRIGUEZ</v>
      </c>
      <c r="I46" t="str">
        <f t="shared" si="6"/>
        <v>MEL.R</v>
      </c>
      <c r="J46" t="s">
        <v>32</v>
      </c>
      <c r="K46" t="s">
        <v>380</v>
      </c>
      <c r="L46" t="s">
        <v>232</v>
      </c>
      <c r="M46" t="s">
        <v>45</v>
      </c>
      <c r="N46">
        <v>90017</v>
      </c>
      <c r="O46" t="str">
        <f t="shared" si="7"/>
        <v>90017</v>
      </c>
      <c r="P46" t="str">
        <f t="shared" si="0"/>
        <v>4416 Woodstock Drive, Los Angeles, CA, 90017</v>
      </c>
      <c r="Q46" t="s">
        <v>381</v>
      </c>
      <c r="R46" t="str">
        <f t="shared" si="8"/>
        <v>MelissaJRodriguez</v>
      </c>
      <c r="S46" t="str">
        <f t="shared" si="9"/>
        <v>hotmail.com</v>
      </c>
      <c r="T46" t="str">
        <f t="shared" si="10"/>
        <v>hotmail</v>
      </c>
      <c r="U46" t="str">
        <f t="shared" si="11"/>
        <v>MelissaJRodriguez</v>
      </c>
      <c r="V46" t="s">
        <v>382</v>
      </c>
      <c r="W46" t="str">
        <f t="shared" si="12"/>
        <v>626-</v>
      </c>
      <c r="X46" t="str">
        <f t="shared" si="13"/>
        <v>549</v>
      </c>
      <c r="Y46" t="str">
        <f t="shared" si="14"/>
        <v>-9751</v>
      </c>
      <c r="Z46" t="str">
        <f>SUBSTITUTE(V46,"-","|",2)</f>
        <v>626-549|9751</v>
      </c>
      <c r="AA46" t="str">
        <f>LEFT(V46,3)</f>
        <v>626</v>
      </c>
      <c r="AB46" t="str">
        <f>MID(V46,5,3)</f>
        <v>549</v>
      </c>
      <c r="AC46" t="str">
        <f>RIGHT(V46,4)</f>
        <v>9751</v>
      </c>
      <c r="AD46" s="3" t="s">
        <v>383</v>
      </c>
      <c r="AE46" s="3" t="str">
        <f t="shared" si="15"/>
        <v>6767</v>
      </c>
    </row>
    <row r="47" spans="1:31">
      <c r="A47" t="s">
        <v>269</v>
      </c>
      <c r="B47" t="str">
        <f t="shared" si="1"/>
        <v>Patricia</v>
      </c>
      <c r="C47" t="s">
        <v>182</v>
      </c>
      <c r="D47" t="s">
        <v>384</v>
      </c>
      <c r="E47" t="str">
        <f t="shared" si="2"/>
        <v>Dent</v>
      </c>
      <c r="F47" t="str">
        <f t="shared" si="3"/>
        <v>PATRICIADENT</v>
      </c>
      <c r="G47" t="str">
        <f t="shared" si="4"/>
        <v>PATRICIADENT</v>
      </c>
      <c r="H47" t="str">
        <f t="shared" si="5"/>
        <v>PAT DENT</v>
      </c>
      <c r="I47" t="str">
        <f t="shared" si="6"/>
        <v>PAT.D</v>
      </c>
      <c r="J47" t="s">
        <v>32</v>
      </c>
      <c r="K47" t="s">
        <v>385</v>
      </c>
      <c r="L47" t="s">
        <v>386</v>
      </c>
      <c r="M47" t="s">
        <v>200</v>
      </c>
      <c r="N47">
        <v>33881</v>
      </c>
      <c r="O47" t="str">
        <f t="shared" si="7"/>
        <v>33881</v>
      </c>
      <c r="P47" t="str">
        <f t="shared" si="0"/>
        <v>3500 Tetrick Road, Winter Haven, FL, 33881</v>
      </c>
      <c r="Q47" t="s">
        <v>387</v>
      </c>
      <c r="R47" t="str">
        <f t="shared" si="8"/>
        <v>PatriciaCDent</v>
      </c>
      <c r="S47" t="str">
        <f t="shared" si="9"/>
        <v>aol.com</v>
      </c>
      <c r="T47" t="str">
        <f t="shared" si="10"/>
        <v>aol</v>
      </c>
      <c r="U47" t="str">
        <f t="shared" si="11"/>
        <v>PatriciaCDent</v>
      </c>
      <c r="V47" t="s">
        <v>388</v>
      </c>
      <c r="W47" t="str">
        <f t="shared" si="12"/>
        <v>863-</v>
      </c>
      <c r="X47" t="str">
        <f t="shared" si="13"/>
        <v>401</v>
      </c>
      <c r="Y47" t="str">
        <f t="shared" si="14"/>
        <v>-8012</v>
      </c>
      <c r="Z47" t="str">
        <f>SUBSTITUTE(V47,"-","|",2)</f>
        <v>863-401|8012</v>
      </c>
      <c r="AA47" t="str">
        <f>LEFT(V47,3)</f>
        <v>863</v>
      </c>
      <c r="AB47" t="str">
        <f>MID(V47,5,3)</f>
        <v>401</v>
      </c>
      <c r="AC47" t="str">
        <f>RIGHT(V47,4)</f>
        <v>8012</v>
      </c>
      <c r="AD47" s="3" t="s">
        <v>389</v>
      </c>
      <c r="AE47" s="3" t="str">
        <f t="shared" si="15"/>
        <v>0115</v>
      </c>
    </row>
    <row r="48" spans="1:31">
      <c r="A48" t="s">
        <v>390</v>
      </c>
      <c r="B48" t="str">
        <f t="shared" si="1"/>
        <v>Goldie</v>
      </c>
      <c r="C48" t="s">
        <v>67</v>
      </c>
      <c r="D48" t="s">
        <v>391</v>
      </c>
      <c r="E48" t="str">
        <f t="shared" si="2"/>
        <v>Castaneda</v>
      </c>
      <c r="F48" t="str">
        <f t="shared" si="3"/>
        <v>GOLDIECASTANEDA</v>
      </c>
      <c r="G48" t="str">
        <f t="shared" si="4"/>
        <v>GOLDIECASTANEDA</v>
      </c>
      <c r="H48" t="str">
        <f t="shared" si="5"/>
        <v>GOL CASTANEDA</v>
      </c>
      <c r="I48" t="str">
        <f t="shared" si="6"/>
        <v>GOL.C</v>
      </c>
      <c r="J48" t="s">
        <v>32</v>
      </c>
      <c r="K48" t="s">
        <v>392</v>
      </c>
      <c r="L48" t="s">
        <v>232</v>
      </c>
      <c r="M48" t="s">
        <v>45</v>
      </c>
      <c r="N48">
        <v>90017</v>
      </c>
      <c r="O48" t="str">
        <f t="shared" si="7"/>
        <v>90017</v>
      </c>
      <c r="P48" t="str">
        <f t="shared" si="0"/>
        <v>3520 Aviation Way, Los Angeles, CA, 90017</v>
      </c>
      <c r="Q48" t="s">
        <v>393</v>
      </c>
      <c r="R48" t="str">
        <f t="shared" si="8"/>
        <v>GoldieDCastaneda</v>
      </c>
      <c r="S48" t="str">
        <f t="shared" si="9"/>
        <v>gmail.com</v>
      </c>
      <c r="T48" t="str">
        <f t="shared" si="10"/>
        <v>gmail</v>
      </c>
      <c r="U48" t="str">
        <f t="shared" si="11"/>
        <v>GoldieDCastaneda</v>
      </c>
      <c r="V48" t="s">
        <v>394</v>
      </c>
      <c r="W48" t="str">
        <f t="shared" si="12"/>
        <v>213-</v>
      </c>
      <c r="X48" t="str">
        <f t="shared" si="13"/>
        <v>968</v>
      </c>
      <c r="Y48" t="str">
        <f t="shared" si="14"/>
        <v>-0522</v>
      </c>
      <c r="Z48" t="str">
        <f>SUBSTITUTE(V48,"-","|",2)</f>
        <v>213-968|0522</v>
      </c>
      <c r="AA48" t="str">
        <f>LEFT(V48,3)</f>
        <v>213</v>
      </c>
      <c r="AB48" t="str">
        <f>MID(V48,5,3)</f>
        <v>968</v>
      </c>
      <c r="AC48" t="str">
        <f>RIGHT(V48,4)</f>
        <v>0522</v>
      </c>
      <c r="AD48" s="3" t="s">
        <v>395</v>
      </c>
      <c r="AE48" s="3" t="str">
        <f t="shared" si="15"/>
        <v>980</v>
      </c>
    </row>
    <row r="49" spans="1:31">
      <c r="A49" t="s">
        <v>396</v>
      </c>
      <c r="B49" t="str">
        <f t="shared" si="1"/>
        <v>Kera</v>
      </c>
      <c r="C49" t="s">
        <v>58</v>
      </c>
      <c r="D49" t="s">
        <v>397</v>
      </c>
      <c r="E49" t="str">
        <f t="shared" si="2"/>
        <v>Davidson</v>
      </c>
      <c r="F49" t="str">
        <f t="shared" si="3"/>
        <v>KERADAVIDSON</v>
      </c>
      <c r="G49" t="str">
        <f t="shared" si="4"/>
        <v>KERADAVIDSON</v>
      </c>
      <c r="H49" t="str">
        <f t="shared" si="5"/>
        <v>KER DAVIDSON</v>
      </c>
      <c r="I49" t="str">
        <f t="shared" si="6"/>
        <v>KER.D</v>
      </c>
      <c r="J49" t="s">
        <v>32</v>
      </c>
      <c r="K49" t="s">
        <v>398</v>
      </c>
      <c r="L49" t="s">
        <v>399</v>
      </c>
      <c r="M49" t="s">
        <v>265</v>
      </c>
      <c r="N49">
        <v>2138</v>
      </c>
      <c r="O49" t="str">
        <f t="shared" si="7"/>
        <v>02138</v>
      </c>
      <c r="P49" t="str">
        <f t="shared" si="0"/>
        <v>4601 Hillcrest Avenue, Cambridge, MA, 2138</v>
      </c>
      <c r="Q49" t="s">
        <v>400</v>
      </c>
      <c r="R49" t="str">
        <f t="shared" si="8"/>
        <v>KeraMDavidson</v>
      </c>
      <c r="S49" t="str">
        <f t="shared" si="9"/>
        <v>hotmail.com</v>
      </c>
      <c r="T49" t="str">
        <f t="shared" si="10"/>
        <v>hotmail</v>
      </c>
      <c r="U49" t="str">
        <f t="shared" si="11"/>
        <v>KeraMDavidson</v>
      </c>
      <c r="V49" t="s">
        <v>401</v>
      </c>
      <c r="W49" t="str">
        <f t="shared" si="12"/>
        <v>781-</v>
      </c>
      <c r="X49" t="str">
        <f t="shared" si="13"/>
        <v>905</v>
      </c>
      <c r="Y49" t="str">
        <f t="shared" si="14"/>
        <v>-8246</v>
      </c>
      <c r="Z49" t="str">
        <f>SUBSTITUTE(V49,"-","|",2)</f>
        <v>781-905|8246</v>
      </c>
      <c r="AA49" t="str">
        <f>LEFT(V49,3)</f>
        <v>781</v>
      </c>
      <c r="AB49" t="str">
        <f>MID(V49,5,3)</f>
        <v>905</v>
      </c>
      <c r="AC49" t="str">
        <f>RIGHT(V49,4)</f>
        <v>8246</v>
      </c>
      <c r="AD49" s="3" t="s">
        <v>402</v>
      </c>
      <c r="AE49" s="3" t="str">
        <f t="shared" si="15"/>
        <v>945</v>
      </c>
    </row>
    <row r="50" spans="1:31">
      <c r="A50" t="s">
        <v>403</v>
      </c>
      <c r="B50" t="str">
        <f t="shared" si="1"/>
        <v>Donna</v>
      </c>
      <c r="C50" t="s">
        <v>166</v>
      </c>
      <c r="D50" t="s">
        <v>404</v>
      </c>
      <c r="E50" t="str">
        <f t="shared" si="2"/>
        <v>Barnette</v>
      </c>
      <c r="F50" t="str">
        <f t="shared" si="3"/>
        <v>DONNABARNETTE</v>
      </c>
      <c r="G50" t="str">
        <f t="shared" si="4"/>
        <v>DONNABARNETTE</v>
      </c>
      <c r="H50" t="str">
        <f t="shared" si="5"/>
        <v>DON BARNETTE</v>
      </c>
      <c r="I50" t="str">
        <f t="shared" si="6"/>
        <v>DON.B</v>
      </c>
      <c r="J50" t="s">
        <v>32</v>
      </c>
      <c r="K50" t="s">
        <v>405</v>
      </c>
      <c r="L50" t="s">
        <v>127</v>
      </c>
      <c r="M50" t="s">
        <v>88</v>
      </c>
      <c r="N50">
        <v>75247</v>
      </c>
      <c r="O50" t="str">
        <f t="shared" si="7"/>
        <v>75247</v>
      </c>
      <c r="P50" t="str">
        <f t="shared" si="0"/>
        <v>2498 Ersel Street, Dallas, TX, 75247</v>
      </c>
      <c r="Q50" t="s">
        <v>406</v>
      </c>
      <c r="R50" t="str">
        <f t="shared" si="8"/>
        <v>DonnaBBarnette</v>
      </c>
      <c r="S50" t="str">
        <f t="shared" si="9"/>
        <v>gmail.com</v>
      </c>
      <c r="T50" t="str">
        <f t="shared" si="10"/>
        <v>gmail</v>
      </c>
      <c r="U50" t="str">
        <f t="shared" si="11"/>
        <v>DonnaBBarnette</v>
      </c>
      <c r="V50" t="s">
        <v>407</v>
      </c>
      <c r="W50" t="str">
        <f t="shared" si="12"/>
        <v>214-</v>
      </c>
      <c r="X50" t="str">
        <f t="shared" si="13"/>
        <v>336</v>
      </c>
      <c r="Y50" t="str">
        <f t="shared" si="14"/>
        <v>-5063</v>
      </c>
      <c r="Z50" t="str">
        <f>SUBSTITUTE(V50,"-","|",2)</f>
        <v>214-336|5063</v>
      </c>
      <c r="AA50" t="str">
        <f>LEFT(V50,3)</f>
        <v>214</v>
      </c>
      <c r="AB50" t="str">
        <f>MID(V50,5,3)</f>
        <v>336</v>
      </c>
      <c r="AC50" t="str">
        <f>RIGHT(V50,4)</f>
        <v>5063</v>
      </c>
      <c r="AD50" s="3" t="s">
        <v>408</v>
      </c>
      <c r="AE50" s="3" t="str">
        <f t="shared" si="15"/>
        <v>496</v>
      </c>
    </row>
    <row r="51" spans="1:31">
      <c r="A51" t="s">
        <v>409</v>
      </c>
      <c r="B51" t="str">
        <f t="shared" si="1"/>
        <v>Kellie</v>
      </c>
      <c r="C51" t="s">
        <v>213</v>
      </c>
      <c r="D51" t="s">
        <v>410</v>
      </c>
      <c r="E51" t="str">
        <f t="shared" si="2"/>
        <v>Brown</v>
      </c>
      <c r="F51" t="str">
        <f t="shared" si="3"/>
        <v>KELLIEBROWN</v>
      </c>
      <c r="G51" t="str">
        <f t="shared" si="4"/>
        <v>KELLIEBROWN</v>
      </c>
      <c r="H51" t="str">
        <f t="shared" si="5"/>
        <v>KEL BROWN</v>
      </c>
      <c r="I51" t="str">
        <f t="shared" si="6"/>
        <v>KEL.B</v>
      </c>
      <c r="J51" t="s">
        <v>32</v>
      </c>
      <c r="K51" t="s">
        <v>411</v>
      </c>
      <c r="L51" t="s">
        <v>412</v>
      </c>
      <c r="M51" t="s">
        <v>413</v>
      </c>
      <c r="N51">
        <v>20191</v>
      </c>
      <c r="O51" t="str">
        <f t="shared" si="7"/>
        <v>20191</v>
      </c>
      <c r="P51" t="str">
        <f t="shared" si="0"/>
        <v>2988 Pine Tree Lane, Reston, MD, 20191</v>
      </c>
      <c r="Q51" t="s">
        <v>414</v>
      </c>
      <c r="R51" t="str">
        <f t="shared" si="8"/>
        <v>KellieABrown</v>
      </c>
      <c r="S51" t="str">
        <f t="shared" si="9"/>
        <v>hotmail.com</v>
      </c>
      <c r="T51" t="str">
        <f t="shared" si="10"/>
        <v>hotmail</v>
      </c>
      <c r="U51" t="str">
        <f t="shared" si="11"/>
        <v>KellieABrown</v>
      </c>
      <c r="V51" t="s">
        <v>415</v>
      </c>
      <c r="W51" t="str">
        <f t="shared" si="12"/>
        <v>240-</v>
      </c>
      <c r="X51" t="str">
        <f t="shared" si="13"/>
        <v>363</v>
      </c>
      <c r="Y51" t="str">
        <f t="shared" si="14"/>
        <v>-9620</v>
      </c>
      <c r="Z51" t="str">
        <f>SUBSTITUTE(V51,"-","|",2)</f>
        <v>240-363|9620</v>
      </c>
      <c r="AA51" t="str">
        <f>LEFT(V51,3)</f>
        <v>240</v>
      </c>
      <c r="AB51" t="str">
        <f>MID(V51,5,3)</f>
        <v>363</v>
      </c>
      <c r="AC51" t="str">
        <f>RIGHT(V51,4)</f>
        <v>9620</v>
      </c>
      <c r="AD51" s="3" t="s">
        <v>416</v>
      </c>
      <c r="AE51" s="3" t="str">
        <f t="shared" si="15"/>
        <v>606</v>
      </c>
    </row>
    <row r="52" spans="1:31">
      <c r="A52" t="s">
        <v>417</v>
      </c>
      <c r="B52" t="str">
        <f t="shared" si="1"/>
        <v>Vena</v>
      </c>
      <c r="C52" t="s">
        <v>30</v>
      </c>
      <c r="D52" t="s">
        <v>418</v>
      </c>
      <c r="E52" t="str">
        <f t="shared" si="2"/>
        <v>Hamilton</v>
      </c>
      <c r="F52" t="str">
        <f t="shared" si="3"/>
        <v>VENAHAMILTON</v>
      </c>
      <c r="G52" t="str">
        <f t="shared" si="4"/>
        <v>VENAHAMILTON</v>
      </c>
      <c r="H52" t="str">
        <f t="shared" si="5"/>
        <v>VEN HAMILTON</v>
      </c>
      <c r="I52" t="str">
        <f t="shared" si="6"/>
        <v>VEN.H</v>
      </c>
      <c r="J52" t="s">
        <v>32</v>
      </c>
      <c r="K52" t="s">
        <v>419</v>
      </c>
      <c r="L52" t="s">
        <v>420</v>
      </c>
      <c r="M52" t="s">
        <v>88</v>
      </c>
      <c r="N52">
        <v>77701</v>
      </c>
      <c r="O52" t="str">
        <f t="shared" si="7"/>
        <v>77701</v>
      </c>
      <c r="P52" t="str">
        <f t="shared" si="0"/>
        <v>922 Brookview Drive, Beaumont, TX, 77701</v>
      </c>
      <c r="Q52" t="s">
        <v>421</v>
      </c>
      <c r="R52" t="str">
        <f t="shared" si="8"/>
        <v>VenaJHamilton</v>
      </c>
      <c r="S52" t="str">
        <f t="shared" si="9"/>
        <v>hotmail.com</v>
      </c>
      <c r="T52" t="str">
        <f t="shared" si="10"/>
        <v>hotmail</v>
      </c>
      <c r="U52" t="str">
        <f t="shared" si="11"/>
        <v>VenaJHamilton</v>
      </c>
      <c r="V52" t="s">
        <v>422</v>
      </c>
      <c r="W52" t="str">
        <f t="shared" si="12"/>
        <v>409-</v>
      </c>
      <c r="X52" t="str">
        <f t="shared" si="13"/>
        <v>232</v>
      </c>
      <c r="Y52" t="str">
        <f t="shared" si="14"/>
        <v>-1330</v>
      </c>
      <c r="Z52" t="str">
        <f>SUBSTITUTE(V52,"-","|",2)</f>
        <v>409-232|1330</v>
      </c>
      <c r="AA52" t="str">
        <f>LEFT(V52,3)</f>
        <v>409</v>
      </c>
      <c r="AB52" t="str">
        <f>MID(V52,5,3)</f>
        <v>232</v>
      </c>
      <c r="AC52" t="str">
        <f>RIGHT(V52,4)</f>
        <v>1330</v>
      </c>
      <c r="AD52" s="3" t="s">
        <v>423</v>
      </c>
      <c r="AE52" s="3" t="str">
        <f t="shared" si="15"/>
        <v>7652</v>
      </c>
    </row>
    <row r="53" spans="1:31">
      <c r="A53" t="s">
        <v>165</v>
      </c>
      <c r="B53" t="str">
        <f t="shared" si="1"/>
        <v>Julie</v>
      </c>
      <c r="C53" t="s">
        <v>124</v>
      </c>
      <c r="D53" t="s">
        <v>424</v>
      </c>
      <c r="E53" t="str">
        <f t="shared" si="2"/>
        <v>Prall</v>
      </c>
      <c r="F53" t="str">
        <f t="shared" si="3"/>
        <v>JULIEPRALL</v>
      </c>
      <c r="G53" t="str">
        <f t="shared" si="4"/>
        <v>JULIEPRALL</v>
      </c>
      <c r="H53" t="str">
        <f t="shared" si="5"/>
        <v>JUL PRALL</v>
      </c>
      <c r="I53" t="str">
        <f t="shared" si="6"/>
        <v>JUL.P</v>
      </c>
      <c r="J53" t="s">
        <v>32</v>
      </c>
      <c r="K53" t="s">
        <v>425</v>
      </c>
      <c r="L53" t="s">
        <v>426</v>
      </c>
      <c r="M53" t="s">
        <v>177</v>
      </c>
      <c r="N53">
        <v>38261</v>
      </c>
      <c r="O53" t="str">
        <f t="shared" si="7"/>
        <v>38261</v>
      </c>
      <c r="P53" t="str">
        <f t="shared" si="0"/>
        <v>2147 Lords Way, Union City, TN, 38261</v>
      </c>
      <c r="Q53" t="s">
        <v>427</v>
      </c>
      <c r="R53" t="str">
        <f t="shared" si="8"/>
        <v>JulieFPrall</v>
      </c>
      <c r="S53" t="str">
        <f t="shared" si="9"/>
        <v>aol.com</v>
      </c>
      <c r="T53" t="str">
        <f t="shared" si="10"/>
        <v>aol</v>
      </c>
      <c r="U53" t="str">
        <f t="shared" si="11"/>
        <v>JulieFPrall</v>
      </c>
      <c r="V53" t="s">
        <v>428</v>
      </c>
      <c r="W53" t="str">
        <f t="shared" si="12"/>
        <v>731-</v>
      </c>
      <c r="X53" t="str">
        <f t="shared" si="13"/>
        <v>884</v>
      </c>
      <c r="Y53" t="str">
        <f t="shared" si="14"/>
        <v>-2771</v>
      </c>
      <c r="Z53" t="str">
        <f>SUBSTITUTE(V53,"-","|",2)</f>
        <v>731-884|2771</v>
      </c>
      <c r="AA53" t="str">
        <f>LEFT(V53,3)</f>
        <v>731</v>
      </c>
      <c r="AB53" t="str">
        <f>MID(V53,5,3)</f>
        <v>884</v>
      </c>
      <c r="AC53" t="str">
        <f>RIGHT(V53,4)</f>
        <v>2771</v>
      </c>
      <c r="AD53" s="3" t="s">
        <v>429</v>
      </c>
      <c r="AE53" s="3" t="str">
        <f t="shared" si="15"/>
        <v>9769</v>
      </c>
    </row>
    <row r="54" spans="1:31">
      <c r="A54" t="s">
        <v>430</v>
      </c>
      <c r="B54" t="str">
        <f t="shared" si="1"/>
        <v>Victor</v>
      </c>
      <c r="C54" t="s">
        <v>166</v>
      </c>
      <c r="D54" t="s">
        <v>431</v>
      </c>
      <c r="E54" t="str">
        <f t="shared" si="2"/>
        <v>Williams</v>
      </c>
      <c r="F54" t="str">
        <f t="shared" si="3"/>
        <v>VICTORWILLIAMS</v>
      </c>
      <c r="G54" t="str">
        <f t="shared" si="4"/>
        <v>VICTORWILLIAMS</v>
      </c>
      <c r="H54" t="str">
        <f t="shared" si="5"/>
        <v>VIC WILLIAMS</v>
      </c>
      <c r="I54" t="str">
        <f t="shared" si="6"/>
        <v>VIC.W</v>
      </c>
      <c r="J54" t="s">
        <v>42</v>
      </c>
      <c r="K54" t="s">
        <v>432</v>
      </c>
      <c r="L54" t="s">
        <v>433</v>
      </c>
      <c r="M54" t="s">
        <v>177</v>
      </c>
      <c r="N54">
        <v>37211</v>
      </c>
      <c r="O54" t="str">
        <f t="shared" si="7"/>
        <v>37211</v>
      </c>
      <c r="P54" t="str">
        <f t="shared" si="0"/>
        <v>816 Glory Road, Nashville, TN, 37211</v>
      </c>
      <c r="Q54" t="s">
        <v>434</v>
      </c>
      <c r="R54" t="str">
        <f t="shared" si="8"/>
        <v>VictorBWilliams</v>
      </c>
      <c r="S54" t="str">
        <f t="shared" si="9"/>
        <v>gmail.com</v>
      </c>
      <c r="T54" t="str">
        <f t="shared" si="10"/>
        <v>gmail</v>
      </c>
      <c r="U54" t="str">
        <f t="shared" si="11"/>
        <v>VictorBWilliams</v>
      </c>
      <c r="V54" t="s">
        <v>435</v>
      </c>
      <c r="W54" t="str">
        <f t="shared" si="12"/>
        <v>931-</v>
      </c>
      <c r="X54" t="str">
        <f t="shared" si="13"/>
        <v>735</v>
      </c>
      <c r="Y54" t="str">
        <f t="shared" si="14"/>
        <v>-0448</v>
      </c>
      <c r="Z54" t="str">
        <f>SUBSTITUTE(V54,"-","|",2)</f>
        <v>931-735|0448</v>
      </c>
      <c r="AA54" t="str">
        <f>LEFT(V54,3)</f>
        <v>931</v>
      </c>
      <c r="AB54" t="str">
        <f>MID(V54,5,3)</f>
        <v>735</v>
      </c>
      <c r="AC54" t="str">
        <f>RIGHT(V54,4)</f>
        <v>0448</v>
      </c>
      <c r="AD54" s="3" t="s">
        <v>436</v>
      </c>
      <c r="AE54" s="3" t="str">
        <f t="shared" si="15"/>
        <v>6978</v>
      </c>
    </row>
    <row r="55" spans="1:31">
      <c r="A55" t="s">
        <v>437</v>
      </c>
      <c r="B55" t="str">
        <f t="shared" si="1"/>
        <v>Gracie</v>
      </c>
      <c r="C55" t="s">
        <v>132</v>
      </c>
      <c r="D55" t="s">
        <v>438</v>
      </c>
      <c r="E55" t="str">
        <f t="shared" si="2"/>
        <v>Gonzalez</v>
      </c>
      <c r="F55" t="str">
        <f t="shared" si="3"/>
        <v>GRACIEGONZALEZ</v>
      </c>
      <c r="G55" t="str">
        <f t="shared" si="4"/>
        <v>GRACIEGONZALEZ</v>
      </c>
      <c r="H55" t="str">
        <f t="shared" si="5"/>
        <v>GRA GONZALEZ</v>
      </c>
      <c r="I55" t="str">
        <f t="shared" si="6"/>
        <v>GRA.G</v>
      </c>
      <c r="J55" t="s">
        <v>32</v>
      </c>
      <c r="K55" t="s">
        <v>439</v>
      </c>
      <c r="L55" t="s">
        <v>440</v>
      </c>
      <c r="M55" t="s">
        <v>441</v>
      </c>
      <c r="N55">
        <v>80202</v>
      </c>
      <c r="O55" t="str">
        <f t="shared" si="7"/>
        <v>80202</v>
      </c>
      <c r="P55" t="str">
        <f t="shared" si="0"/>
        <v>292 Sweetwood Drive, Denver, CO, 80202</v>
      </c>
      <c r="Q55" t="s">
        <v>442</v>
      </c>
      <c r="R55" t="str">
        <f t="shared" si="8"/>
        <v>GracieRGonzalez</v>
      </c>
      <c r="S55" t="str">
        <f t="shared" si="9"/>
        <v>aol.com</v>
      </c>
      <c r="T55" t="str">
        <f t="shared" si="10"/>
        <v>aol</v>
      </c>
      <c r="U55" t="str">
        <f t="shared" si="11"/>
        <v>GracieRGonzalez</v>
      </c>
      <c r="V55" t="s">
        <v>443</v>
      </c>
      <c r="W55" t="str">
        <f t="shared" si="12"/>
        <v>303-</v>
      </c>
      <c r="X55" t="str">
        <f t="shared" si="13"/>
        <v>376</v>
      </c>
      <c r="Y55" t="str">
        <f t="shared" si="14"/>
        <v>-7959</v>
      </c>
      <c r="Z55" t="str">
        <f>SUBSTITUTE(V55,"-","|",2)</f>
        <v>303-376|7959</v>
      </c>
      <c r="AA55" t="str">
        <f>LEFT(V55,3)</f>
        <v>303</v>
      </c>
      <c r="AB55" t="str">
        <f>MID(V55,5,3)</f>
        <v>376</v>
      </c>
      <c r="AC55" t="str">
        <f>RIGHT(V55,4)</f>
        <v>7959</v>
      </c>
      <c r="AD55" s="3" t="s">
        <v>444</v>
      </c>
      <c r="AE55" s="3" t="str">
        <f t="shared" si="15"/>
        <v>7511</v>
      </c>
    </row>
    <row r="56" spans="1:31">
      <c r="A56" t="s">
        <v>445</v>
      </c>
      <c r="B56" t="str">
        <f t="shared" si="1"/>
        <v>Leonila</v>
      </c>
      <c r="C56" t="s">
        <v>40</v>
      </c>
      <c r="D56" t="s">
        <v>446</v>
      </c>
      <c r="E56" t="str">
        <f t="shared" si="2"/>
        <v>Bombard</v>
      </c>
      <c r="F56" t="str">
        <f t="shared" si="3"/>
        <v>LEONILABOMBARD</v>
      </c>
      <c r="G56" t="str">
        <f t="shared" si="4"/>
        <v>LEONILABOMBARD</v>
      </c>
      <c r="H56" t="str">
        <f t="shared" si="5"/>
        <v>LEO BOMBARD</v>
      </c>
      <c r="I56" t="str">
        <f t="shared" si="6"/>
        <v>LEO.B</v>
      </c>
      <c r="J56" t="s">
        <v>32</v>
      </c>
      <c r="K56" t="s">
        <v>447</v>
      </c>
      <c r="L56" t="s">
        <v>448</v>
      </c>
      <c r="M56" t="s">
        <v>200</v>
      </c>
      <c r="N56">
        <v>32019</v>
      </c>
      <c r="O56" t="str">
        <f t="shared" si="7"/>
        <v>32019</v>
      </c>
      <c r="P56" t="str">
        <f t="shared" si="0"/>
        <v>1997 Willis Avenue, Port Orange, FL, 32019</v>
      </c>
      <c r="Q56" t="s">
        <v>449</v>
      </c>
      <c r="R56" t="str">
        <f t="shared" si="8"/>
        <v>LeonilaSBombard</v>
      </c>
      <c r="S56" t="str">
        <f t="shared" si="9"/>
        <v>hotmail.com</v>
      </c>
      <c r="T56" t="str">
        <f t="shared" si="10"/>
        <v>hotmail</v>
      </c>
      <c r="U56" t="str">
        <f t="shared" si="11"/>
        <v>LeonilaSBombard</v>
      </c>
      <c r="V56" t="s">
        <v>450</v>
      </c>
      <c r="W56" t="str">
        <f t="shared" si="12"/>
        <v>386-</v>
      </c>
      <c r="X56" t="str">
        <f t="shared" si="13"/>
        <v>562</v>
      </c>
      <c r="Y56" t="str">
        <f t="shared" si="14"/>
        <v>-8256</v>
      </c>
      <c r="Z56" t="str">
        <f>SUBSTITUTE(V56,"-","|",2)</f>
        <v>386-562|8256</v>
      </c>
      <c r="AA56" t="str">
        <f>LEFT(V56,3)</f>
        <v>386</v>
      </c>
      <c r="AB56" t="str">
        <f>MID(V56,5,3)</f>
        <v>562</v>
      </c>
      <c r="AC56" t="str">
        <f>RIGHT(V56,4)</f>
        <v>8256</v>
      </c>
      <c r="AD56" s="3" t="s">
        <v>451</v>
      </c>
      <c r="AE56" s="3" t="str">
        <f t="shared" si="15"/>
        <v>998</v>
      </c>
    </row>
    <row r="57" spans="1:31">
      <c r="A57" t="s">
        <v>452</v>
      </c>
      <c r="B57" t="str">
        <f t="shared" si="1"/>
        <v>Christina</v>
      </c>
      <c r="C57" t="s">
        <v>58</v>
      </c>
      <c r="D57" t="s">
        <v>453</v>
      </c>
      <c r="E57" t="str">
        <f t="shared" si="2"/>
        <v>Richter</v>
      </c>
      <c r="F57" t="str">
        <f t="shared" si="3"/>
        <v>CHRISTINARICHTER</v>
      </c>
      <c r="G57" t="str">
        <f t="shared" si="4"/>
        <v>CHRISTINARICHTER</v>
      </c>
      <c r="H57" t="str">
        <f t="shared" si="5"/>
        <v>CHR RICHTER</v>
      </c>
      <c r="I57" t="str">
        <f t="shared" si="6"/>
        <v>CHR.R</v>
      </c>
      <c r="J57" t="s">
        <v>32</v>
      </c>
      <c r="K57" t="s">
        <v>454</v>
      </c>
      <c r="L57" t="s">
        <v>315</v>
      </c>
      <c r="M57" t="s">
        <v>200</v>
      </c>
      <c r="N57">
        <v>33901</v>
      </c>
      <c r="O57" t="str">
        <f t="shared" si="7"/>
        <v>33901</v>
      </c>
      <c r="P57" t="str">
        <f t="shared" si="0"/>
        <v>3169 Wilkinson Court, Fort Myers, FL, 33901</v>
      </c>
      <c r="Q57" t="s">
        <v>455</v>
      </c>
      <c r="R57" t="str">
        <f t="shared" si="8"/>
        <v>ChristinaMRichter</v>
      </c>
      <c r="S57" t="str">
        <f t="shared" si="9"/>
        <v>hotmail.com</v>
      </c>
      <c r="T57" t="str">
        <f t="shared" si="10"/>
        <v>hotmail</v>
      </c>
      <c r="U57" t="str">
        <f t="shared" si="11"/>
        <v>ChristinaMRichter</v>
      </c>
      <c r="V57" t="s">
        <v>456</v>
      </c>
      <c r="W57" t="str">
        <f t="shared" si="12"/>
        <v>239-</v>
      </c>
      <c r="X57" t="str">
        <f t="shared" si="13"/>
        <v>633</v>
      </c>
      <c r="Y57" t="str">
        <f t="shared" si="14"/>
        <v>-4155</v>
      </c>
      <c r="Z57" t="str">
        <f>SUBSTITUTE(V57,"-","|",2)</f>
        <v>239-633|4155</v>
      </c>
      <c r="AA57" t="str">
        <f>LEFT(V57,3)</f>
        <v>239</v>
      </c>
      <c r="AB57" t="str">
        <f>MID(V57,5,3)</f>
        <v>633</v>
      </c>
      <c r="AC57" t="str">
        <f>RIGHT(V57,4)</f>
        <v>4155</v>
      </c>
      <c r="AD57" s="3" t="s">
        <v>457</v>
      </c>
      <c r="AE57" s="3" t="str">
        <f t="shared" si="15"/>
        <v>9162</v>
      </c>
    </row>
    <row r="58" spans="1:31">
      <c r="A58" t="s">
        <v>458</v>
      </c>
      <c r="B58" t="str">
        <f t="shared" si="1"/>
        <v>Brenda</v>
      </c>
      <c r="C58" t="s">
        <v>84</v>
      </c>
      <c r="D58" t="s">
        <v>459</v>
      </c>
      <c r="E58" t="str">
        <f t="shared" si="2"/>
        <v>Hodges</v>
      </c>
      <c r="F58" t="str">
        <f t="shared" si="3"/>
        <v>BRENDAHODGES</v>
      </c>
      <c r="G58" t="str">
        <f t="shared" si="4"/>
        <v>BRENDAHODGES</v>
      </c>
      <c r="H58" t="str">
        <f t="shared" si="5"/>
        <v>BRE HODGES</v>
      </c>
      <c r="I58" t="str">
        <f t="shared" si="6"/>
        <v>BRE.H</v>
      </c>
      <c r="J58" t="s">
        <v>32</v>
      </c>
      <c r="K58" t="s">
        <v>460</v>
      </c>
      <c r="L58" t="s">
        <v>185</v>
      </c>
      <c r="M58" t="s">
        <v>35</v>
      </c>
      <c r="N58">
        <v>60605</v>
      </c>
      <c r="O58" t="str">
        <f t="shared" si="7"/>
        <v>60605</v>
      </c>
      <c r="P58" t="str">
        <f t="shared" si="0"/>
        <v>1795 Fraggle Drive, Chicago, IL, 60605</v>
      </c>
      <c r="Q58" t="s">
        <v>461</v>
      </c>
      <c r="R58" t="str">
        <f t="shared" si="8"/>
        <v>BrendaKHodges</v>
      </c>
      <c r="S58" t="str">
        <f t="shared" si="9"/>
        <v>aol.com</v>
      </c>
      <c r="T58" t="str">
        <f t="shared" si="10"/>
        <v>aol</v>
      </c>
      <c r="U58" t="str">
        <f t="shared" si="11"/>
        <v>BrendaKHodges</v>
      </c>
      <c r="V58" t="s">
        <v>462</v>
      </c>
      <c r="W58" t="str">
        <f t="shared" si="12"/>
        <v>630-</v>
      </c>
      <c r="X58" t="str">
        <f t="shared" si="13"/>
        <v>354</v>
      </c>
      <c r="Y58" t="str">
        <f t="shared" si="14"/>
        <v>-1426</v>
      </c>
      <c r="Z58" t="str">
        <f>SUBSTITUTE(V58,"-","|",2)</f>
        <v>630-354|1426</v>
      </c>
      <c r="AA58" t="str">
        <f>LEFT(V58,3)</f>
        <v>630</v>
      </c>
      <c r="AB58" t="str">
        <f>MID(V58,5,3)</f>
        <v>354</v>
      </c>
      <c r="AC58" t="str">
        <f>RIGHT(V58,4)</f>
        <v>1426</v>
      </c>
      <c r="AD58" s="3" t="s">
        <v>463</v>
      </c>
      <c r="AE58" s="3" t="str">
        <f t="shared" si="15"/>
        <v>020</v>
      </c>
    </row>
    <row r="59" spans="1:31">
      <c r="A59" t="s">
        <v>464</v>
      </c>
      <c r="B59" t="str">
        <f t="shared" si="1"/>
        <v>Carmelo</v>
      </c>
      <c r="C59" t="s">
        <v>213</v>
      </c>
      <c r="D59" t="s">
        <v>465</v>
      </c>
      <c r="E59" t="str">
        <f t="shared" si="2"/>
        <v>Preuss</v>
      </c>
      <c r="F59" t="str">
        <f t="shared" si="3"/>
        <v>CARMELOPREUSS</v>
      </c>
      <c r="G59" t="str">
        <f t="shared" si="4"/>
        <v>CARMELOPREUSS</v>
      </c>
      <c r="H59" t="str">
        <f t="shared" si="5"/>
        <v>CAR PREUSS</v>
      </c>
      <c r="I59" t="str">
        <f t="shared" si="6"/>
        <v>CAR.P</v>
      </c>
      <c r="J59" t="s">
        <v>42</v>
      </c>
      <c r="K59" t="s">
        <v>466</v>
      </c>
      <c r="L59" t="s">
        <v>467</v>
      </c>
      <c r="M59" t="s">
        <v>217</v>
      </c>
      <c r="N59">
        <v>84734</v>
      </c>
      <c r="O59" t="str">
        <f t="shared" si="7"/>
        <v>84734</v>
      </c>
      <c r="P59" t="str">
        <f t="shared" si="0"/>
        <v>2545 Lang Avenue, Ticaboo, UT, 84734</v>
      </c>
      <c r="Q59" t="s">
        <v>468</v>
      </c>
      <c r="R59" t="str">
        <f t="shared" si="8"/>
        <v>CarmeloAPreuss</v>
      </c>
      <c r="S59" t="str">
        <f t="shared" si="9"/>
        <v>aol.com</v>
      </c>
      <c r="T59" t="str">
        <f t="shared" si="10"/>
        <v>aol</v>
      </c>
      <c r="U59" t="str">
        <f t="shared" si="11"/>
        <v>CarmeloAPreuss</v>
      </c>
      <c r="V59" t="s">
        <v>469</v>
      </c>
      <c r="W59" t="str">
        <f t="shared" si="12"/>
        <v>435-</v>
      </c>
      <c r="X59" t="str">
        <f t="shared" si="13"/>
        <v>788</v>
      </c>
      <c r="Y59" t="str">
        <f t="shared" si="14"/>
        <v>-1677</v>
      </c>
      <c r="Z59" t="str">
        <f>SUBSTITUTE(V59,"-","|",2)</f>
        <v>435-788|1677</v>
      </c>
      <c r="AA59" t="str">
        <f>LEFT(V59,3)</f>
        <v>435</v>
      </c>
      <c r="AB59" t="str">
        <f>MID(V59,5,3)</f>
        <v>788</v>
      </c>
      <c r="AC59" t="str">
        <f>RIGHT(V59,4)</f>
        <v>1677</v>
      </c>
      <c r="AD59" s="3" t="s">
        <v>470</v>
      </c>
      <c r="AE59" s="3" t="str">
        <f t="shared" si="15"/>
        <v>635</v>
      </c>
    </row>
    <row r="60" spans="1:31">
      <c r="A60" t="s">
        <v>471</v>
      </c>
      <c r="B60" t="str">
        <f t="shared" si="1"/>
        <v>David</v>
      </c>
      <c r="C60" t="s">
        <v>182</v>
      </c>
      <c r="D60" t="s">
        <v>472</v>
      </c>
      <c r="E60" t="str">
        <f t="shared" si="2"/>
        <v>Sisco</v>
      </c>
      <c r="F60" t="str">
        <f t="shared" si="3"/>
        <v>DAVIDSISCO</v>
      </c>
      <c r="G60" t="str">
        <f t="shared" si="4"/>
        <v>DAVIDSISCO</v>
      </c>
      <c r="H60" t="str">
        <f t="shared" si="5"/>
        <v>DAV SISCO</v>
      </c>
      <c r="I60" t="str">
        <f t="shared" si="6"/>
        <v>DAV.S</v>
      </c>
      <c r="J60" t="s">
        <v>42</v>
      </c>
      <c r="K60" t="s">
        <v>473</v>
      </c>
      <c r="L60" t="s">
        <v>474</v>
      </c>
      <c r="M60" t="s">
        <v>104</v>
      </c>
      <c r="N60">
        <v>13202</v>
      </c>
      <c r="O60" t="str">
        <f t="shared" si="7"/>
        <v>13202</v>
      </c>
      <c r="P60" t="str">
        <f t="shared" si="0"/>
        <v>3552 Buckhannan Avenue, Syracuse, NY, 13202</v>
      </c>
      <c r="Q60" t="s">
        <v>475</v>
      </c>
      <c r="R60" t="str">
        <f t="shared" si="8"/>
        <v>DavidCSisco</v>
      </c>
      <c r="S60" t="str">
        <f t="shared" si="9"/>
        <v>gmail.com</v>
      </c>
      <c r="T60" t="str">
        <f t="shared" si="10"/>
        <v>gmail</v>
      </c>
      <c r="U60" t="str">
        <f t="shared" si="11"/>
        <v>DavidCSisco</v>
      </c>
      <c r="V60" t="s">
        <v>476</v>
      </c>
      <c r="W60" t="str">
        <f t="shared" si="12"/>
        <v>315-</v>
      </c>
      <c r="X60" t="str">
        <f t="shared" si="13"/>
        <v>479</v>
      </c>
      <c r="Y60" t="str">
        <f t="shared" si="14"/>
        <v>-9958</v>
      </c>
      <c r="Z60" t="str">
        <f>SUBSTITUTE(V60,"-","|",2)</f>
        <v>315-479|9958</v>
      </c>
      <c r="AA60" t="str">
        <f>LEFT(V60,3)</f>
        <v>315</v>
      </c>
      <c r="AB60" t="str">
        <f>MID(V60,5,3)</f>
        <v>479</v>
      </c>
      <c r="AC60" t="str">
        <f>RIGHT(V60,4)</f>
        <v>9958</v>
      </c>
      <c r="AD60" s="3" t="s">
        <v>477</v>
      </c>
      <c r="AE60" s="3" t="str">
        <f t="shared" si="15"/>
        <v>354</v>
      </c>
    </row>
    <row r="61" spans="1:31">
      <c r="A61" t="s">
        <v>478</v>
      </c>
      <c r="B61" t="str">
        <f t="shared" si="1"/>
        <v>Terry</v>
      </c>
      <c r="C61" t="s">
        <v>30</v>
      </c>
      <c r="D61" t="s">
        <v>479</v>
      </c>
      <c r="E61" t="str">
        <f t="shared" si="2"/>
        <v>Gilbert</v>
      </c>
      <c r="F61" t="str">
        <f t="shared" si="3"/>
        <v>TERRYGILBERT</v>
      </c>
      <c r="G61" t="str">
        <f t="shared" si="4"/>
        <v>TERRYGILBERT</v>
      </c>
      <c r="H61" t="str">
        <f t="shared" si="5"/>
        <v>TER GILBERT</v>
      </c>
      <c r="I61" t="str">
        <f t="shared" si="6"/>
        <v>TER.G</v>
      </c>
      <c r="J61" t="s">
        <v>42</v>
      </c>
      <c r="K61" t="s">
        <v>480</v>
      </c>
      <c r="L61" t="s">
        <v>481</v>
      </c>
      <c r="M61" t="s">
        <v>482</v>
      </c>
      <c r="N61">
        <v>74034</v>
      </c>
      <c r="O61" t="str">
        <f t="shared" si="7"/>
        <v>74034</v>
      </c>
      <c r="P61" t="str">
        <f t="shared" si="0"/>
        <v>1787 Hornor Avenue, Hallett, OK, 74034</v>
      </c>
      <c r="Q61" t="s">
        <v>483</v>
      </c>
      <c r="R61" t="str">
        <f t="shared" si="8"/>
        <v>TerryJGilbert</v>
      </c>
      <c r="S61" t="str">
        <f t="shared" si="9"/>
        <v>hotmail.com</v>
      </c>
      <c r="T61" t="str">
        <f t="shared" si="10"/>
        <v>hotmail</v>
      </c>
      <c r="U61" t="str">
        <f t="shared" si="11"/>
        <v>TerryJGilbert</v>
      </c>
      <c r="V61" t="s">
        <v>484</v>
      </c>
      <c r="W61" t="str">
        <f t="shared" si="12"/>
        <v>918-</v>
      </c>
      <c r="X61" t="str">
        <f t="shared" si="13"/>
        <v>356</v>
      </c>
      <c r="Y61" t="str">
        <f t="shared" si="14"/>
        <v>-3119</v>
      </c>
      <c r="Z61" t="str">
        <f>SUBSTITUTE(V61,"-","|",2)</f>
        <v>918-356|3119</v>
      </c>
      <c r="AA61" t="str">
        <f>LEFT(V61,3)</f>
        <v>918</v>
      </c>
      <c r="AB61" t="str">
        <f>MID(V61,5,3)</f>
        <v>356</v>
      </c>
      <c r="AC61" t="str">
        <f>RIGHT(V61,4)</f>
        <v>3119</v>
      </c>
      <c r="AD61" s="3" t="s">
        <v>485</v>
      </c>
      <c r="AE61" s="3" t="str">
        <f t="shared" si="15"/>
        <v>962</v>
      </c>
    </row>
    <row r="62" spans="1:31">
      <c r="A62" t="s">
        <v>486</v>
      </c>
      <c r="B62" t="str">
        <f t="shared" si="1"/>
        <v>Homer</v>
      </c>
      <c r="C62" t="s">
        <v>132</v>
      </c>
      <c r="D62" t="s">
        <v>487</v>
      </c>
      <c r="E62" t="str">
        <f t="shared" si="2"/>
        <v>Latham</v>
      </c>
      <c r="F62" t="str">
        <f t="shared" si="3"/>
        <v>HOMERLATHAM</v>
      </c>
      <c r="G62" t="str">
        <f t="shared" si="4"/>
        <v>HOMERLATHAM</v>
      </c>
      <c r="H62" t="str">
        <f t="shared" si="5"/>
        <v>HOM LATHAM</v>
      </c>
      <c r="I62" t="str">
        <f t="shared" si="6"/>
        <v>HOM.L</v>
      </c>
      <c r="J62" t="s">
        <v>42</v>
      </c>
      <c r="K62" t="s">
        <v>488</v>
      </c>
      <c r="L62" t="s">
        <v>489</v>
      </c>
      <c r="M62" t="s">
        <v>490</v>
      </c>
      <c r="N62">
        <v>57238</v>
      </c>
      <c r="O62" t="str">
        <f t="shared" si="7"/>
        <v>57238</v>
      </c>
      <c r="P62" t="str">
        <f t="shared" si="0"/>
        <v>2930 Hartway Street, Goodwin, SD, 57238</v>
      </c>
      <c r="Q62" t="s">
        <v>491</v>
      </c>
      <c r="R62" t="str">
        <f t="shared" si="8"/>
        <v>HomerRLatham</v>
      </c>
      <c r="S62" t="str">
        <f t="shared" si="9"/>
        <v>aol.com</v>
      </c>
      <c r="T62" t="str">
        <f t="shared" si="10"/>
        <v>aol</v>
      </c>
      <c r="U62" t="str">
        <f t="shared" si="11"/>
        <v>HomerRLatham</v>
      </c>
      <c r="V62" t="s">
        <v>492</v>
      </c>
      <c r="W62" t="str">
        <f t="shared" si="12"/>
        <v>605-</v>
      </c>
      <c r="X62" t="str">
        <f t="shared" si="13"/>
        <v>795</v>
      </c>
      <c r="Y62" t="str">
        <f t="shared" si="14"/>
        <v>-1731</v>
      </c>
      <c r="Z62" t="str">
        <f>SUBSTITUTE(V62,"-","|",2)</f>
        <v>605-795|1731</v>
      </c>
      <c r="AA62" t="str">
        <f>LEFT(V62,3)</f>
        <v>605</v>
      </c>
      <c r="AB62" t="str">
        <f>MID(V62,5,3)</f>
        <v>795</v>
      </c>
      <c r="AC62" t="str">
        <f>RIGHT(V62,4)</f>
        <v>1731</v>
      </c>
      <c r="AD62" s="3" t="s">
        <v>493</v>
      </c>
      <c r="AE62" s="3" t="str">
        <f t="shared" si="15"/>
        <v>6207</v>
      </c>
    </row>
    <row r="63" spans="1:31">
      <c r="A63" t="s">
        <v>494</v>
      </c>
      <c r="B63" t="str">
        <f t="shared" si="1"/>
        <v>Argentina</v>
      </c>
      <c r="C63" t="s">
        <v>343</v>
      </c>
      <c r="D63" t="s">
        <v>495</v>
      </c>
      <c r="E63" t="str">
        <f t="shared" si="2"/>
        <v>Clark</v>
      </c>
      <c r="F63" t="str">
        <f t="shared" si="3"/>
        <v>ARGENTINACLARK</v>
      </c>
      <c r="G63" t="str">
        <f t="shared" si="4"/>
        <v>ARGENTINACLARK</v>
      </c>
      <c r="H63" t="str">
        <f t="shared" si="5"/>
        <v>ARG CLARK</v>
      </c>
      <c r="I63" t="str">
        <f t="shared" si="6"/>
        <v>ARG.C</v>
      </c>
      <c r="J63" t="s">
        <v>32</v>
      </c>
      <c r="K63" t="s">
        <v>496</v>
      </c>
      <c r="L63" t="s">
        <v>497</v>
      </c>
      <c r="M63" t="s">
        <v>104</v>
      </c>
      <c r="N63">
        <v>14227</v>
      </c>
      <c r="O63" t="str">
        <f t="shared" si="7"/>
        <v>14227</v>
      </c>
      <c r="P63" t="str">
        <f t="shared" si="0"/>
        <v>4249 Orphan Road, Cheektowaga, NY, 14227</v>
      </c>
      <c r="Q63" t="s">
        <v>498</v>
      </c>
      <c r="R63" t="str">
        <f t="shared" si="8"/>
        <v>ArgentinaLClark</v>
      </c>
      <c r="S63" t="str">
        <f t="shared" si="9"/>
        <v>hotmail.com</v>
      </c>
      <c r="T63" t="str">
        <f t="shared" si="10"/>
        <v>hotmail</v>
      </c>
      <c r="U63" t="str">
        <f t="shared" si="11"/>
        <v>ArgentinaLClark</v>
      </c>
      <c r="V63" t="s">
        <v>499</v>
      </c>
      <c r="W63" t="str">
        <f t="shared" si="12"/>
        <v>716-</v>
      </c>
      <c r="X63" t="str">
        <f t="shared" si="13"/>
        <v>228</v>
      </c>
      <c r="Y63" t="str">
        <f t="shared" si="14"/>
        <v>-4814</v>
      </c>
      <c r="Z63" t="str">
        <f>SUBSTITUTE(V63,"-","|",2)</f>
        <v>716-228|4814</v>
      </c>
      <c r="AA63" t="str">
        <f>LEFT(V63,3)</f>
        <v>716</v>
      </c>
      <c r="AB63" t="str">
        <f>MID(V63,5,3)</f>
        <v>228</v>
      </c>
      <c r="AC63" t="str">
        <f>RIGHT(V63,4)</f>
        <v>4814</v>
      </c>
      <c r="AD63" s="3" t="s">
        <v>500</v>
      </c>
      <c r="AE63" s="3" t="str">
        <f t="shared" si="15"/>
        <v>6051</v>
      </c>
    </row>
    <row r="64" spans="1:31">
      <c r="A64" t="s">
        <v>501</v>
      </c>
      <c r="B64" t="str">
        <f t="shared" si="1"/>
        <v>Raymond</v>
      </c>
      <c r="C64" t="s">
        <v>58</v>
      </c>
      <c r="D64" t="s">
        <v>237</v>
      </c>
      <c r="E64" t="str">
        <f t="shared" si="2"/>
        <v>Taylor</v>
      </c>
      <c r="F64" t="str">
        <f t="shared" si="3"/>
        <v>RAYMONDTAYLOR</v>
      </c>
      <c r="G64" t="str">
        <f t="shared" si="4"/>
        <v>RAYMONDTAYLOR</v>
      </c>
      <c r="H64" t="str">
        <f t="shared" si="5"/>
        <v>RAY TAYLOR</v>
      </c>
      <c r="I64" t="str">
        <f t="shared" si="6"/>
        <v>RAY.T</v>
      </c>
      <c r="J64" t="s">
        <v>42</v>
      </c>
      <c r="K64" t="s">
        <v>502</v>
      </c>
      <c r="L64" t="s">
        <v>503</v>
      </c>
      <c r="M64" t="s">
        <v>200</v>
      </c>
      <c r="N64">
        <v>33311</v>
      </c>
      <c r="O64" t="str">
        <f t="shared" si="7"/>
        <v>33311</v>
      </c>
      <c r="P64" t="str">
        <f t="shared" si="0"/>
        <v>377 Warner Street, Ft Lauderdale, FL, 33311</v>
      </c>
      <c r="Q64" t="s">
        <v>504</v>
      </c>
      <c r="R64" t="str">
        <f t="shared" si="8"/>
        <v>RaymondMTaylor</v>
      </c>
      <c r="S64" t="str">
        <f t="shared" si="9"/>
        <v>gmail.com</v>
      </c>
      <c r="T64" t="str">
        <f t="shared" si="10"/>
        <v>gmail</v>
      </c>
      <c r="U64" t="str">
        <f t="shared" si="11"/>
        <v>RaymondMTaylor</v>
      </c>
      <c r="V64" t="s">
        <v>505</v>
      </c>
      <c r="W64" t="str">
        <f t="shared" si="12"/>
        <v>305-</v>
      </c>
      <c r="X64" t="str">
        <f t="shared" si="13"/>
        <v>965</v>
      </c>
      <c r="Y64" t="str">
        <f t="shared" si="14"/>
        <v>-4543</v>
      </c>
      <c r="Z64" t="str">
        <f>SUBSTITUTE(V64,"-","|",2)</f>
        <v>305-965|4543</v>
      </c>
      <c r="AA64" t="str">
        <f>LEFT(V64,3)</f>
        <v>305</v>
      </c>
      <c r="AB64" t="str">
        <f>MID(V64,5,3)</f>
        <v>965</v>
      </c>
      <c r="AC64" t="str">
        <f>RIGHT(V64,4)</f>
        <v>4543</v>
      </c>
      <c r="AD64" s="3" t="s">
        <v>506</v>
      </c>
      <c r="AE64" s="3" t="str">
        <f t="shared" si="15"/>
        <v>6996</v>
      </c>
    </row>
    <row r="65" spans="1:31">
      <c r="A65" t="s">
        <v>269</v>
      </c>
      <c r="B65" t="str">
        <f t="shared" si="1"/>
        <v>Patricia</v>
      </c>
      <c r="C65" t="s">
        <v>182</v>
      </c>
      <c r="D65" t="s">
        <v>507</v>
      </c>
      <c r="E65" t="str">
        <f t="shared" si="2"/>
        <v>Harrison</v>
      </c>
      <c r="F65" t="str">
        <f t="shared" si="3"/>
        <v>PATRICIAHARRISON</v>
      </c>
      <c r="G65" t="str">
        <f t="shared" si="4"/>
        <v>PATRICIAHARRISON</v>
      </c>
      <c r="H65" t="str">
        <f t="shared" si="5"/>
        <v>PAT HARRISON</v>
      </c>
      <c r="I65" t="str">
        <f t="shared" si="6"/>
        <v>PAT.H</v>
      </c>
      <c r="J65" t="s">
        <v>32</v>
      </c>
      <c r="K65" t="s">
        <v>508</v>
      </c>
      <c r="L65" t="s">
        <v>509</v>
      </c>
      <c r="M65" t="s">
        <v>88</v>
      </c>
      <c r="N65">
        <v>79106</v>
      </c>
      <c r="O65" t="str">
        <f t="shared" si="7"/>
        <v>79106</v>
      </c>
      <c r="P65" t="str">
        <f t="shared" si="0"/>
        <v>4023 Smithfield Avenue, Amarillo, TX, 79106</v>
      </c>
      <c r="Q65" t="s">
        <v>510</v>
      </c>
      <c r="R65" t="str">
        <f t="shared" si="8"/>
        <v>PatriciaCHarrison</v>
      </c>
      <c r="S65" t="str">
        <f t="shared" si="9"/>
        <v>hotmail.com</v>
      </c>
      <c r="T65" t="str">
        <f t="shared" si="10"/>
        <v>hotmail</v>
      </c>
      <c r="U65" t="str">
        <f t="shared" si="11"/>
        <v>PatriciaCHarrison</v>
      </c>
      <c r="V65" t="s">
        <v>511</v>
      </c>
      <c r="W65" t="str">
        <f t="shared" si="12"/>
        <v>806-</v>
      </c>
      <c r="X65" t="str">
        <f t="shared" si="13"/>
        <v>664</v>
      </c>
      <c r="Y65" t="str">
        <f t="shared" si="14"/>
        <v>-5258</v>
      </c>
      <c r="Z65" t="str">
        <f>SUBSTITUTE(V65,"-","|",2)</f>
        <v>806-664|5258</v>
      </c>
      <c r="AA65" t="str">
        <f>LEFT(V65,3)</f>
        <v>806</v>
      </c>
      <c r="AB65" t="str">
        <f>MID(V65,5,3)</f>
        <v>664</v>
      </c>
      <c r="AC65" t="str">
        <f>RIGHT(V65,4)</f>
        <v>5258</v>
      </c>
      <c r="AD65" s="3" t="s">
        <v>512</v>
      </c>
      <c r="AE65" s="3" t="str">
        <f t="shared" si="15"/>
        <v>6390</v>
      </c>
    </row>
    <row r="66" spans="1:31">
      <c r="A66" t="s">
        <v>251</v>
      </c>
      <c r="B66" t="str">
        <f t="shared" si="1"/>
        <v>Robert</v>
      </c>
      <c r="C66" t="s">
        <v>84</v>
      </c>
      <c r="D66" t="s">
        <v>513</v>
      </c>
      <c r="E66" t="str">
        <f t="shared" si="2"/>
        <v>King</v>
      </c>
      <c r="F66" t="str">
        <f t="shared" si="3"/>
        <v>ROBERTKING</v>
      </c>
      <c r="G66" t="str">
        <f t="shared" si="4"/>
        <v>ROBERTKING</v>
      </c>
      <c r="H66" t="str">
        <f t="shared" si="5"/>
        <v>ROB KING</v>
      </c>
      <c r="I66" t="str">
        <f t="shared" si="6"/>
        <v>ROB.K</v>
      </c>
      <c r="J66" t="s">
        <v>42</v>
      </c>
      <c r="K66" t="s">
        <v>514</v>
      </c>
      <c r="L66" t="s">
        <v>515</v>
      </c>
      <c r="M66" t="s">
        <v>516</v>
      </c>
      <c r="N66">
        <v>47591</v>
      </c>
      <c r="O66" t="str">
        <f t="shared" si="7"/>
        <v>47591</v>
      </c>
      <c r="P66" t="str">
        <f t="shared" ref="P66:P129" si="16">K66&amp;", "&amp;L66&amp;", "&amp;M66&amp;", "&amp;N66</f>
        <v>3737 Stratford Park, Vincennes, IN, 47591</v>
      </c>
      <c r="Q66" t="s">
        <v>517</v>
      </c>
      <c r="R66" t="str">
        <f t="shared" si="8"/>
        <v>RobertKKing</v>
      </c>
      <c r="S66" t="str">
        <f t="shared" si="9"/>
        <v>hotmail.com</v>
      </c>
      <c r="T66" t="str">
        <f t="shared" si="10"/>
        <v>hotmail</v>
      </c>
      <c r="U66" t="str">
        <f t="shared" si="11"/>
        <v>RobertKKing</v>
      </c>
      <c r="V66" t="s">
        <v>518</v>
      </c>
      <c r="W66" t="str">
        <f t="shared" si="12"/>
        <v>812-</v>
      </c>
      <c r="X66" t="str">
        <f t="shared" si="13"/>
        <v>881</v>
      </c>
      <c r="Y66" t="str">
        <f t="shared" si="14"/>
        <v>-5928</v>
      </c>
      <c r="Z66" t="str">
        <f>SUBSTITUTE(V66,"-","|",2)</f>
        <v>812-881|5928</v>
      </c>
      <c r="AA66" t="str">
        <f>LEFT(V66,3)</f>
        <v>812</v>
      </c>
      <c r="AB66" t="str">
        <f>MID(V66,5,3)</f>
        <v>881</v>
      </c>
      <c r="AC66" t="str">
        <f>RIGHT(V66,4)</f>
        <v>5928</v>
      </c>
      <c r="AD66" s="3" t="s">
        <v>519</v>
      </c>
      <c r="AE66" s="3" t="str">
        <f t="shared" si="15"/>
        <v>222</v>
      </c>
    </row>
    <row r="67" spans="1:31">
      <c r="A67" t="s">
        <v>520</v>
      </c>
      <c r="B67" t="str">
        <f t="shared" ref="B67:B130" si="17">TRIM(PROPER(A67))</f>
        <v>Pedro</v>
      </c>
      <c r="C67" t="s">
        <v>58</v>
      </c>
      <c r="D67" t="s">
        <v>521</v>
      </c>
      <c r="E67" t="str">
        <f t="shared" ref="E67:E130" si="18">TRIM(PROPER(D67))</f>
        <v>Padgett</v>
      </c>
      <c r="F67" t="str">
        <f t="shared" ref="F67:F130" si="19">A67&amp;""&amp;D67</f>
        <v>PEDROPADGETT</v>
      </c>
      <c r="G67" t="str">
        <f t="shared" ref="G67:G130" si="20">CONCATENATE(A67,D67)</f>
        <v>PEDROPADGETT</v>
      </c>
      <c r="H67" t="str">
        <f t="shared" ref="H67:H130" si="21">LEFT(A67,3)&amp;" "&amp;D67</f>
        <v>PED PADGETT</v>
      </c>
      <c r="I67" t="str">
        <f t="shared" ref="I67:I130" si="22">LEFT(A67,3)&amp;"."&amp;LEFT(D67,1)</f>
        <v>PED.P</v>
      </c>
      <c r="J67" t="s">
        <v>42</v>
      </c>
      <c r="K67" t="s">
        <v>522</v>
      </c>
      <c r="L67" t="s">
        <v>523</v>
      </c>
      <c r="M67" t="s">
        <v>53</v>
      </c>
      <c r="N67">
        <v>8104</v>
      </c>
      <c r="O67" t="str">
        <f t="shared" ref="O67:O130" si="23">IF(LEN(N67)=5,TEXT(N67,"#####"),IF(LEN(N67)=4,TEXT(N67,"0####")))</f>
        <v>08104</v>
      </c>
      <c r="P67" t="str">
        <f t="shared" si="16"/>
        <v>1636 Lake Road, Camden, NJ, 8104</v>
      </c>
      <c r="Q67" t="s">
        <v>524</v>
      </c>
      <c r="R67" t="str">
        <f t="shared" ref="R67:R130" si="24">LEFT(Q67,SEARCH("@",Q67)-1)</f>
        <v>PedroMPadgett</v>
      </c>
      <c r="S67" t="str">
        <f t="shared" ref="S67:S130" si="25">RIGHT(Q67,LEN(Q67)-SEARCH("@",Q67))</f>
        <v>hotmail.com</v>
      </c>
      <c r="T67" t="str">
        <f t="shared" ref="T67:T130" si="26">IF(ISNUMBER(SEARCH("gmail",Q67)),"gmail",IF(ISNUMBER(SEARCH("aol",Q67)),"aol",IF(ISNUMBER(SEARCH("hotmail",Q67)),"hotmail","other")))</f>
        <v>hotmail</v>
      </c>
      <c r="U67" t="str">
        <f t="shared" ref="U67:U130" si="27">LEFT(Q67,SEARCH("@",Q67)-1)</f>
        <v>PedroMPadgett</v>
      </c>
      <c r="V67" t="s">
        <v>525</v>
      </c>
      <c r="W67" t="str">
        <f t="shared" ref="W67:W130" si="28">LEFT(V67,4)</f>
        <v>609-</v>
      </c>
      <c r="X67" t="str">
        <f t="shared" ref="X67:X130" si="29">MID(V67,5,3)</f>
        <v>326</v>
      </c>
      <c r="Y67" t="str">
        <f t="shared" ref="Y67:Y130" si="30">RIGHT(V67,5)</f>
        <v>-3881</v>
      </c>
      <c r="Z67" t="str">
        <f>SUBSTITUTE(V67,"-","|",2)</f>
        <v>609-326|3881</v>
      </c>
      <c r="AA67" t="str">
        <f>LEFT(V67,3)</f>
        <v>609</v>
      </c>
      <c r="AB67" t="str">
        <f>MID(V67,5,3)</f>
        <v>326</v>
      </c>
      <c r="AC67" t="str">
        <f>RIGHT(V67,4)</f>
        <v>3881</v>
      </c>
      <c r="AD67" s="3" t="s">
        <v>526</v>
      </c>
      <c r="AE67" s="3" t="str">
        <f t="shared" ref="AE67:AE130" si="31">RIGHT(AD67,LEN(AD67)-SEARCH("-",AD67))</f>
        <v>475</v>
      </c>
    </row>
    <row r="68" spans="1:31">
      <c r="A68" t="s">
        <v>66</v>
      </c>
      <c r="B68" t="str">
        <f t="shared" si="17"/>
        <v>John</v>
      </c>
      <c r="C68" t="s">
        <v>132</v>
      </c>
      <c r="D68" t="s">
        <v>527</v>
      </c>
      <c r="E68" t="str">
        <f t="shared" si="18"/>
        <v>Mclaughlin</v>
      </c>
      <c r="F68" t="str">
        <f t="shared" si="19"/>
        <v>JOHNMCLAUGHLIN</v>
      </c>
      <c r="G68" t="str">
        <f t="shared" si="20"/>
        <v>JOHNMCLAUGHLIN</v>
      </c>
      <c r="H68" t="str">
        <f t="shared" si="21"/>
        <v>JOH MCLAUGHLIN</v>
      </c>
      <c r="I68" t="str">
        <f t="shared" si="22"/>
        <v>JOH.M</v>
      </c>
      <c r="J68" t="s">
        <v>42</v>
      </c>
      <c r="K68" t="s">
        <v>528</v>
      </c>
      <c r="L68" t="s">
        <v>529</v>
      </c>
      <c r="M68" t="s">
        <v>530</v>
      </c>
      <c r="N68">
        <v>39322</v>
      </c>
      <c r="O68" t="str">
        <f t="shared" si="23"/>
        <v>39322</v>
      </c>
      <c r="P68" t="str">
        <f t="shared" si="16"/>
        <v>2751 Walnut Street, Buckatunna, MS, 39322</v>
      </c>
      <c r="Q68" t="s">
        <v>531</v>
      </c>
      <c r="R68" t="str">
        <f t="shared" si="24"/>
        <v>JohnRMcLaughlin</v>
      </c>
      <c r="S68" t="str">
        <f t="shared" si="25"/>
        <v>hotmail.com</v>
      </c>
      <c r="T68" t="str">
        <f t="shared" si="26"/>
        <v>hotmail</v>
      </c>
      <c r="U68" t="str">
        <f t="shared" si="27"/>
        <v>JohnRMcLaughlin</v>
      </c>
      <c r="V68" t="s">
        <v>532</v>
      </c>
      <c r="W68" t="str">
        <f t="shared" si="28"/>
        <v>601-</v>
      </c>
      <c r="X68" t="str">
        <f t="shared" si="29"/>
        <v>648</v>
      </c>
      <c r="Y68" t="str">
        <f t="shared" si="30"/>
        <v>-9349</v>
      </c>
      <c r="Z68" t="str">
        <f>SUBSTITUTE(V68,"-","|",2)</f>
        <v>601-648|9349</v>
      </c>
      <c r="AA68" t="str">
        <f>LEFT(V68,3)</f>
        <v>601</v>
      </c>
      <c r="AB68" t="str">
        <f>MID(V68,5,3)</f>
        <v>648</v>
      </c>
      <c r="AC68" t="str">
        <f>RIGHT(V68,4)</f>
        <v>9349</v>
      </c>
      <c r="AD68" s="3" t="s">
        <v>533</v>
      </c>
      <c r="AE68" s="3" t="str">
        <f t="shared" si="31"/>
        <v>709</v>
      </c>
    </row>
    <row r="69" spans="1:31">
      <c r="A69" t="s">
        <v>534</v>
      </c>
      <c r="B69" t="str">
        <f t="shared" si="17"/>
        <v>Lakesha</v>
      </c>
      <c r="C69" t="s">
        <v>297</v>
      </c>
      <c r="D69" t="s">
        <v>535</v>
      </c>
      <c r="E69" t="str">
        <f t="shared" si="18"/>
        <v>Johnson</v>
      </c>
      <c r="F69" t="str">
        <f t="shared" si="19"/>
        <v>LAKESHAJOHNSON</v>
      </c>
      <c r="G69" t="str">
        <f t="shared" si="20"/>
        <v>LAKESHAJOHNSON</v>
      </c>
      <c r="H69" t="str">
        <f t="shared" si="21"/>
        <v>LAK JOHNSON</v>
      </c>
      <c r="I69" t="str">
        <f t="shared" si="22"/>
        <v>LAK.J</v>
      </c>
      <c r="J69" t="s">
        <v>32</v>
      </c>
      <c r="K69" t="s">
        <v>536</v>
      </c>
      <c r="L69" t="s">
        <v>537</v>
      </c>
      <c r="M69" t="s">
        <v>538</v>
      </c>
      <c r="N69">
        <v>16668</v>
      </c>
      <c r="O69" t="str">
        <f t="shared" si="23"/>
        <v>16668</v>
      </c>
      <c r="P69" t="str">
        <f t="shared" si="16"/>
        <v>4832 Harley Brook Lane, Patton, PA, 16668</v>
      </c>
      <c r="Q69" t="s">
        <v>539</v>
      </c>
      <c r="R69" t="str">
        <f t="shared" si="24"/>
        <v>LakeshaTJohnson</v>
      </c>
      <c r="S69" t="str">
        <f t="shared" si="25"/>
        <v>hotmail.com</v>
      </c>
      <c r="T69" t="str">
        <f t="shared" si="26"/>
        <v>hotmail</v>
      </c>
      <c r="U69" t="str">
        <f t="shared" si="27"/>
        <v>LakeshaTJohnson</v>
      </c>
      <c r="V69" t="s">
        <v>540</v>
      </c>
      <c r="W69" t="str">
        <f t="shared" si="28"/>
        <v>814-</v>
      </c>
      <c r="X69" t="str">
        <f t="shared" si="29"/>
        <v>674</v>
      </c>
      <c r="Y69" t="str">
        <f t="shared" si="30"/>
        <v>-1968</v>
      </c>
      <c r="Z69" t="str">
        <f>SUBSTITUTE(V69,"-","|",2)</f>
        <v>814-674|1968</v>
      </c>
      <c r="AA69" t="str">
        <f>LEFT(V69,3)</f>
        <v>814</v>
      </c>
      <c r="AB69" t="str">
        <f>MID(V69,5,3)</f>
        <v>674</v>
      </c>
      <c r="AC69" t="str">
        <f>RIGHT(V69,4)</f>
        <v>1968</v>
      </c>
      <c r="AD69" s="3" t="s">
        <v>541</v>
      </c>
      <c r="AE69" s="3" t="str">
        <f t="shared" si="31"/>
        <v>7331</v>
      </c>
    </row>
    <row r="70" spans="1:31">
      <c r="A70" t="s">
        <v>542</v>
      </c>
      <c r="B70" t="str">
        <f t="shared" si="17"/>
        <v>Lucinda</v>
      </c>
      <c r="C70" t="s">
        <v>132</v>
      </c>
      <c r="D70" t="s">
        <v>543</v>
      </c>
      <c r="E70" t="str">
        <f t="shared" si="18"/>
        <v>Gribble</v>
      </c>
      <c r="F70" t="str">
        <f t="shared" si="19"/>
        <v>LUCINDAGRIBBLE</v>
      </c>
      <c r="G70" t="str">
        <f t="shared" si="20"/>
        <v>LUCINDAGRIBBLE</v>
      </c>
      <c r="H70" t="str">
        <f t="shared" si="21"/>
        <v>LUC GRIBBLE</v>
      </c>
      <c r="I70" t="str">
        <f t="shared" si="22"/>
        <v>LUC.G</v>
      </c>
      <c r="J70" t="s">
        <v>32</v>
      </c>
      <c r="K70" t="s">
        <v>544</v>
      </c>
      <c r="L70" t="s">
        <v>192</v>
      </c>
      <c r="M70" t="s">
        <v>88</v>
      </c>
      <c r="N70">
        <v>77002</v>
      </c>
      <c r="O70" t="str">
        <f t="shared" si="23"/>
        <v>77002</v>
      </c>
      <c r="P70" t="str">
        <f t="shared" si="16"/>
        <v>2075 Gore Street, Houston, TX, 77002</v>
      </c>
      <c r="Q70" t="s">
        <v>545</v>
      </c>
      <c r="R70" t="str">
        <f t="shared" si="24"/>
        <v>LucindaRGribble</v>
      </c>
      <c r="S70" t="str">
        <f t="shared" si="25"/>
        <v>aol.com</v>
      </c>
      <c r="T70" t="str">
        <f t="shared" si="26"/>
        <v>aol</v>
      </c>
      <c r="U70" t="str">
        <f t="shared" si="27"/>
        <v>LucindaRGribble</v>
      </c>
      <c r="V70" t="s">
        <v>546</v>
      </c>
      <c r="W70" t="str">
        <f t="shared" si="28"/>
        <v>713-</v>
      </c>
      <c r="X70" t="str">
        <f t="shared" si="29"/>
        <v>609</v>
      </c>
      <c r="Y70" t="str">
        <f t="shared" si="30"/>
        <v>-8148</v>
      </c>
      <c r="Z70" t="str">
        <f>SUBSTITUTE(V70,"-","|",2)</f>
        <v>713-609|8148</v>
      </c>
      <c r="AA70" t="str">
        <f>LEFT(V70,3)</f>
        <v>713</v>
      </c>
      <c r="AB70" t="str">
        <f>MID(V70,5,3)</f>
        <v>609</v>
      </c>
      <c r="AC70" t="str">
        <f>RIGHT(V70,4)</f>
        <v>8148</v>
      </c>
      <c r="AD70" s="3" t="s">
        <v>547</v>
      </c>
      <c r="AE70" s="3" t="str">
        <f t="shared" si="31"/>
        <v>976</v>
      </c>
    </row>
    <row r="71" spans="1:31">
      <c r="A71" t="s">
        <v>548</v>
      </c>
      <c r="B71" t="str">
        <f t="shared" si="17"/>
        <v>Mildred</v>
      </c>
      <c r="C71" t="s">
        <v>67</v>
      </c>
      <c r="D71" t="s">
        <v>549</v>
      </c>
      <c r="E71" t="str">
        <f t="shared" si="18"/>
        <v>Greene</v>
      </c>
      <c r="F71" t="str">
        <f t="shared" si="19"/>
        <v>MILDREDGREENE</v>
      </c>
      <c r="G71" t="str">
        <f t="shared" si="20"/>
        <v>MILDREDGREENE</v>
      </c>
      <c r="H71" t="str">
        <f t="shared" si="21"/>
        <v>MIL GREENE</v>
      </c>
      <c r="I71" t="str">
        <f t="shared" si="22"/>
        <v>MIL.G</v>
      </c>
      <c r="J71" t="s">
        <v>32</v>
      </c>
      <c r="K71" t="s">
        <v>550</v>
      </c>
      <c r="L71" t="s">
        <v>551</v>
      </c>
      <c r="M71" t="s">
        <v>88</v>
      </c>
      <c r="N71">
        <v>79703</v>
      </c>
      <c r="O71" t="str">
        <f t="shared" si="23"/>
        <v>79703</v>
      </c>
      <c r="P71" t="str">
        <f t="shared" si="16"/>
        <v>2538 Laurel Lane, Terminal, TX, 79703</v>
      </c>
      <c r="Q71" t="s">
        <v>552</v>
      </c>
      <c r="R71" t="str">
        <f t="shared" si="24"/>
        <v>MildredDGreene</v>
      </c>
      <c r="S71" t="str">
        <f t="shared" si="25"/>
        <v>aol.com</v>
      </c>
      <c r="T71" t="str">
        <f t="shared" si="26"/>
        <v>aol</v>
      </c>
      <c r="U71" t="str">
        <f t="shared" si="27"/>
        <v>MildredDGreene</v>
      </c>
      <c r="V71" t="s">
        <v>553</v>
      </c>
      <c r="W71" t="str">
        <f t="shared" si="28"/>
        <v>432-</v>
      </c>
      <c r="X71" t="str">
        <f t="shared" si="29"/>
        <v>495</v>
      </c>
      <c r="Y71" t="str">
        <f t="shared" si="30"/>
        <v>-7060</v>
      </c>
      <c r="Z71" t="str">
        <f>SUBSTITUTE(V71,"-","|",2)</f>
        <v>432-495|7060</v>
      </c>
      <c r="AA71" t="str">
        <f>LEFT(V71,3)</f>
        <v>432</v>
      </c>
      <c r="AB71" t="str">
        <f>MID(V71,5,3)</f>
        <v>495</v>
      </c>
      <c r="AC71" t="str">
        <f>RIGHT(V71,4)</f>
        <v>7060</v>
      </c>
      <c r="AD71" s="3" t="s">
        <v>554</v>
      </c>
      <c r="AE71" s="3" t="str">
        <f t="shared" si="31"/>
        <v>596</v>
      </c>
    </row>
    <row r="72" spans="1:31">
      <c r="A72" t="s">
        <v>555</v>
      </c>
      <c r="B72" t="str">
        <f t="shared" si="17"/>
        <v>Sally</v>
      </c>
      <c r="C72" t="s">
        <v>67</v>
      </c>
      <c r="D72" t="s">
        <v>556</v>
      </c>
      <c r="E72" t="str">
        <f t="shared" si="18"/>
        <v>Hayes</v>
      </c>
      <c r="F72" t="str">
        <f t="shared" si="19"/>
        <v>SALLYHAYES</v>
      </c>
      <c r="G72" t="str">
        <f t="shared" si="20"/>
        <v>SALLYHAYES</v>
      </c>
      <c r="H72" t="str">
        <f t="shared" si="21"/>
        <v>SAL HAYES</v>
      </c>
      <c r="I72" t="str">
        <f t="shared" si="22"/>
        <v>SAL.H</v>
      </c>
      <c r="J72" t="s">
        <v>32</v>
      </c>
      <c r="K72" t="s">
        <v>557</v>
      </c>
      <c r="L72" t="s">
        <v>558</v>
      </c>
      <c r="M72" t="s">
        <v>559</v>
      </c>
      <c r="N72">
        <v>50401</v>
      </c>
      <c r="O72" t="str">
        <f t="shared" si="23"/>
        <v>50401</v>
      </c>
      <c r="P72" t="str">
        <f t="shared" si="16"/>
        <v>3782 Southern Avenue, Mason City, IA, 50401</v>
      </c>
      <c r="Q72" t="s">
        <v>560</v>
      </c>
      <c r="R72" t="str">
        <f t="shared" si="24"/>
        <v>SallyDHayes</v>
      </c>
      <c r="S72" t="str">
        <f t="shared" si="25"/>
        <v>hotmail.com</v>
      </c>
      <c r="T72" t="str">
        <f t="shared" si="26"/>
        <v>hotmail</v>
      </c>
      <c r="U72" t="str">
        <f t="shared" si="27"/>
        <v>SallyDHayes</v>
      </c>
      <c r="V72" t="s">
        <v>561</v>
      </c>
      <c r="W72" t="str">
        <f t="shared" si="28"/>
        <v>641-</v>
      </c>
      <c r="X72" t="str">
        <f t="shared" si="29"/>
        <v>422</v>
      </c>
      <c r="Y72" t="str">
        <f t="shared" si="30"/>
        <v>-1921</v>
      </c>
      <c r="Z72" t="str">
        <f>SUBSTITUTE(V72,"-","|",2)</f>
        <v>641-422|1921</v>
      </c>
      <c r="AA72" t="str">
        <f>LEFT(V72,3)</f>
        <v>641</v>
      </c>
      <c r="AB72" t="str">
        <f>MID(V72,5,3)</f>
        <v>422</v>
      </c>
      <c r="AC72" t="str">
        <f>RIGHT(V72,4)</f>
        <v>1921</v>
      </c>
      <c r="AD72" s="3" t="s">
        <v>562</v>
      </c>
      <c r="AE72" s="3" t="str">
        <f t="shared" si="31"/>
        <v>0077</v>
      </c>
    </row>
    <row r="73" spans="1:31">
      <c r="A73" t="s">
        <v>563</v>
      </c>
      <c r="B73" t="str">
        <f t="shared" si="17"/>
        <v>Augustine</v>
      </c>
      <c r="C73" t="s">
        <v>84</v>
      </c>
      <c r="D73" t="s">
        <v>237</v>
      </c>
      <c r="E73" t="str">
        <f t="shared" si="18"/>
        <v>Taylor</v>
      </c>
      <c r="F73" t="str">
        <f t="shared" si="19"/>
        <v>AUGUSTINETAYLOR</v>
      </c>
      <c r="G73" t="str">
        <f t="shared" si="20"/>
        <v>AUGUSTINETAYLOR</v>
      </c>
      <c r="H73" t="str">
        <f t="shared" si="21"/>
        <v>AUG TAYLOR</v>
      </c>
      <c r="I73" t="str">
        <f t="shared" si="22"/>
        <v>AUG.T</v>
      </c>
      <c r="J73" t="s">
        <v>42</v>
      </c>
      <c r="K73" t="s">
        <v>564</v>
      </c>
      <c r="L73" t="s">
        <v>565</v>
      </c>
      <c r="M73" t="s">
        <v>45</v>
      </c>
      <c r="N73">
        <v>94010</v>
      </c>
      <c r="O73" t="str">
        <f t="shared" si="23"/>
        <v>94010</v>
      </c>
      <c r="P73" t="str">
        <f t="shared" si="16"/>
        <v>1956 Thunder Road, Burlingame, CA, 94010</v>
      </c>
      <c r="Q73" t="s">
        <v>566</v>
      </c>
      <c r="R73" t="str">
        <f t="shared" si="24"/>
        <v>AugustineKTaylor</v>
      </c>
      <c r="S73" t="str">
        <f t="shared" si="25"/>
        <v>aol.com</v>
      </c>
      <c r="T73" t="str">
        <f t="shared" si="26"/>
        <v>aol</v>
      </c>
      <c r="U73" t="str">
        <f t="shared" si="27"/>
        <v>AugustineKTaylor</v>
      </c>
      <c r="V73" t="s">
        <v>567</v>
      </c>
      <c r="W73" t="str">
        <f t="shared" si="28"/>
        <v>650-</v>
      </c>
      <c r="X73" t="str">
        <f t="shared" si="29"/>
        <v>548</v>
      </c>
      <c r="Y73" t="str">
        <f t="shared" si="30"/>
        <v>-4339</v>
      </c>
      <c r="Z73" t="str">
        <f>SUBSTITUTE(V73,"-","|",2)</f>
        <v>650-548|4339</v>
      </c>
      <c r="AA73" t="str">
        <f>LEFT(V73,3)</f>
        <v>650</v>
      </c>
      <c r="AB73" t="str">
        <f>MID(V73,5,3)</f>
        <v>548</v>
      </c>
      <c r="AC73" t="str">
        <f>RIGHT(V73,4)</f>
        <v>4339</v>
      </c>
      <c r="AD73" s="3" t="s">
        <v>568</v>
      </c>
      <c r="AE73" s="3" t="str">
        <f t="shared" si="31"/>
        <v>981</v>
      </c>
    </row>
    <row r="74" spans="1:31">
      <c r="A74" t="s">
        <v>569</v>
      </c>
      <c r="B74" t="str">
        <f t="shared" si="17"/>
        <v>Edward</v>
      </c>
      <c r="C74" t="s">
        <v>30</v>
      </c>
      <c r="D74" t="s">
        <v>570</v>
      </c>
      <c r="E74" t="str">
        <f t="shared" si="18"/>
        <v>Kelley</v>
      </c>
      <c r="F74" t="str">
        <f t="shared" si="19"/>
        <v>EDWARDKELLEY</v>
      </c>
      <c r="G74" t="str">
        <f t="shared" si="20"/>
        <v>EDWARDKELLEY</v>
      </c>
      <c r="H74" t="str">
        <f t="shared" si="21"/>
        <v>EDW KELLEY</v>
      </c>
      <c r="I74" t="str">
        <f t="shared" si="22"/>
        <v>EDW.K</v>
      </c>
      <c r="J74" t="s">
        <v>42</v>
      </c>
      <c r="K74" t="s">
        <v>571</v>
      </c>
      <c r="L74" t="s">
        <v>572</v>
      </c>
      <c r="M74" t="s">
        <v>177</v>
      </c>
      <c r="N74">
        <v>37929</v>
      </c>
      <c r="O74" t="str">
        <f t="shared" si="23"/>
        <v>37929</v>
      </c>
      <c r="P74" t="str">
        <f t="shared" si="16"/>
        <v>4711 Wiseman Street, Knoxville, TN, 37929</v>
      </c>
      <c r="Q74" t="s">
        <v>573</v>
      </c>
      <c r="R74" t="str">
        <f t="shared" si="24"/>
        <v>EdwardJKelley</v>
      </c>
      <c r="S74" t="str">
        <f t="shared" si="25"/>
        <v>aol.com</v>
      </c>
      <c r="T74" t="str">
        <f t="shared" si="26"/>
        <v>aol</v>
      </c>
      <c r="U74" t="str">
        <f t="shared" si="27"/>
        <v>EdwardJKelley</v>
      </c>
      <c r="V74" t="s">
        <v>574</v>
      </c>
      <c r="W74" t="str">
        <f t="shared" si="28"/>
        <v>865-</v>
      </c>
      <c r="X74" t="str">
        <f t="shared" si="29"/>
        <v>377</v>
      </c>
      <c r="Y74" t="str">
        <f t="shared" si="30"/>
        <v>-0614</v>
      </c>
      <c r="Z74" t="str">
        <f>SUBSTITUTE(V74,"-","|",2)</f>
        <v>865-377|0614</v>
      </c>
      <c r="AA74" t="str">
        <f>LEFT(V74,3)</f>
        <v>865</v>
      </c>
      <c r="AB74" t="str">
        <f>MID(V74,5,3)</f>
        <v>377</v>
      </c>
      <c r="AC74" t="str">
        <f>RIGHT(V74,4)</f>
        <v>0614</v>
      </c>
      <c r="AD74" s="3" t="s">
        <v>575</v>
      </c>
      <c r="AE74" s="3" t="str">
        <f t="shared" si="31"/>
        <v>865</v>
      </c>
    </row>
    <row r="75" spans="1:31">
      <c r="A75" t="s">
        <v>576</v>
      </c>
      <c r="B75" t="str">
        <f t="shared" si="17"/>
        <v>Mei</v>
      </c>
      <c r="C75" t="s">
        <v>132</v>
      </c>
      <c r="D75" t="s">
        <v>577</v>
      </c>
      <c r="E75" t="str">
        <f t="shared" si="18"/>
        <v>Lopez</v>
      </c>
      <c r="F75" t="str">
        <f t="shared" si="19"/>
        <v>MEILOPEZ</v>
      </c>
      <c r="G75" t="str">
        <f t="shared" si="20"/>
        <v>MEILOPEZ</v>
      </c>
      <c r="H75" t="str">
        <f t="shared" si="21"/>
        <v>MEI LOPEZ</v>
      </c>
      <c r="I75" t="str">
        <f t="shared" si="22"/>
        <v>MEI.L</v>
      </c>
      <c r="J75" t="s">
        <v>32</v>
      </c>
      <c r="K75" t="s">
        <v>578</v>
      </c>
      <c r="L75" t="s">
        <v>579</v>
      </c>
      <c r="M75" t="s">
        <v>538</v>
      </c>
      <c r="N75">
        <v>15205</v>
      </c>
      <c r="O75" t="str">
        <f t="shared" si="23"/>
        <v>15205</v>
      </c>
      <c r="P75" t="str">
        <f t="shared" si="16"/>
        <v>2992 Frank Avenue, Pittsburgh, PA, 15205</v>
      </c>
      <c r="Q75" t="s">
        <v>580</v>
      </c>
      <c r="R75" t="str">
        <f t="shared" si="24"/>
        <v>MeiRLopez</v>
      </c>
      <c r="S75" t="str">
        <f t="shared" si="25"/>
        <v>hotmail.com</v>
      </c>
      <c r="T75" t="str">
        <f t="shared" si="26"/>
        <v>hotmail</v>
      </c>
      <c r="U75" t="str">
        <f t="shared" si="27"/>
        <v>MeiRLopez</v>
      </c>
      <c r="V75" t="s">
        <v>581</v>
      </c>
      <c r="W75" t="str">
        <f t="shared" si="28"/>
        <v>412-</v>
      </c>
      <c r="X75" t="str">
        <f t="shared" si="29"/>
        <v>978</v>
      </c>
      <c r="Y75" t="str">
        <f t="shared" si="30"/>
        <v>-6619</v>
      </c>
      <c r="Z75" t="str">
        <f>SUBSTITUTE(V75,"-","|",2)</f>
        <v>412-978|6619</v>
      </c>
      <c r="AA75" t="str">
        <f>LEFT(V75,3)</f>
        <v>412</v>
      </c>
      <c r="AB75" t="str">
        <f>MID(V75,5,3)</f>
        <v>978</v>
      </c>
      <c r="AC75" t="str">
        <f>RIGHT(V75,4)</f>
        <v>6619</v>
      </c>
      <c r="AD75" s="3" t="s">
        <v>582</v>
      </c>
      <c r="AE75" s="3" t="str">
        <f t="shared" si="31"/>
        <v>120</v>
      </c>
    </row>
    <row r="76" spans="1:31">
      <c r="A76" t="s">
        <v>583</v>
      </c>
      <c r="B76" t="str">
        <f t="shared" si="17"/>
        <v>Katherine</v>
      </c>
      <c r="C76" t="s">
        <v>182</v>
      </c>
      <c r="D76" t="s">
        <v>584</v>
      </c>
      <c r="E76" t="str">
        <f t="shared" si="18"/>
        <v>Kennedy</v>
      </c>
      <c r="F76" t="str">
        <f t="shared" si="19"/>
        <v>KATHERINEKENNEDY</v>
      </c>
      <c r="G76" t="str">
        <f t="shared" si="20"/>
        <v>KATHERINEKENNEDY</v>
      </c>
      <c r="H76" t="str">
        <f t="shared" si="21"/>
        <v>KAT KENNEDY</v>
      </c>
      <c r="I76" t="str">
        <f t="shared" si="22"/>
        <v>KAT.K</v>
      </c>
      <c r="J76" t="s">
        <v>32</v>
      </c>
      <c r="K76" t="s">
        <v>585</v>
      </c>
      <c r="L76" t="s">
        <v>300</v>
      </c>
      <c r="M76" t="s">
        <v>301</v>
      </c>
      <c r="N76">
        <v>43215</v>
      </c>
      <c r="O76" t="str">
        <f t="shared" si="23"/>
        <v>43215</v>
      </c>
      <c r="P76" t="str">
        <f t="shared" si="16"/>
        <v>89 Bates Brothers Road, Columbus, OH, 43215</v>
      </c>
      <c r="Q76" t="s">
        <v>586</v>
      </c>
      <c r="R76" t="str">
        <f t="shared" si="24"/>
        <v>KatherineCKennedy</v>
      </c>
      <c r="S76" t="str">
        <f t="shared" si="25"/>
        <v>hotmail.com</v>
      </c>
      <c r="T76" t="str">
        <f t="shared" si="26"/>
        <v>hotmail</v>
      </c>
      <c r="U76" t="str">
        <f t="shared" si="27"/>
        <v>KatherineCKennedy</v>
      </c>
      <c r="V76" t="s">
        <v>587</v>
      </c>
      <c r="W76" t="str">
        <f t="shared" si="28"/>
        <v>614-</v>
      </c>
      <c r="X76" t="str">
        <f t="shared" si="29"/>
        <v>245</v>
      </c>
      <c r="Y76" t="str">
        <f t="shared" si="30"/>
        <v>-0377</v>
      </c>
      <c r="Z76" t="str">
        <f>SUBSTITUTE(V76,"-","|",2)</f>
        <v>614-245|0377</v>
      </c>
      <c r="AA76" t="str">
        <f>LEFT(V76,3)</f>
        <v>614</v>
      </c>
      <c r="AB76" t="str">
        <f>MID(V76,5,3)</f>
        <v>245</v>
      </c>
      <c r="AC76" t="str">
        <f>RIGHT(V76,4)</f>
        <v>0377</v>
      </c>
      <c r="AD76" s="3" t="s">
        <v>588</v>
      </c>
      <c r="AE76" s="3" t="str">
        <f t="shared" si="31"/>
        <v>367</v>
      </c>
    </row>
    <row r="77" spans="1:31">
      <c r="A77" t="s">
        <v>358</v>
      </c>
      <c r="B77" t="str">
        <f t="shared" si="17"/>
        <v>Jennifer</v>
      </c>
      <c r="C77" t="s">
        <v>343</v>
      </c>
      <c r="D77" t="s">
        <v>589</v>
      </c>
      <c r="E77" t="str">
        <f t="shared" si="18"/>
        <v>Trevino</v>
      </c>
      <c r="F77" t="str">
        <f t="shared" si="19"/>
        <v>JENNIFERTREVINO</v>
      </c>
      <c r="G77" t="str">
        <f t="shared" si="20"/>
        <v>JENNIFERTREVINO</v>
      </c>
      <c r="H77" t="str">
        <f t="shared" si="21"/>
        <v>JEN TREVINO</v>
      </c>
      <c r="I77" t="str">
        <f t="shared" si="22"/>
        <v>JEN.T</v>
      </c>
      <c r="J77" t="s">
        <v>32</v>
      </c>
      <c r="K77" t="s">
        <v>590</v>
      </c>
      <c r="L77" t="s">
        <v>591</v>
      </c>
      <c r="M77" t="s">
        <v>45</v>
      </c>
      <c r="N77">
        <v>95667</v>
      </c>
      <c r="O77" t="str">
        <f t="shared" si="23"/>
        <v>95667</v>
      </c>
      <c r="P77" t="str">
        <f t="shared" si="16"/>
        <v>1950 Eagles Nest Drive, Placerville, CA, 95667</v>
      </c>
      <c r="Q77" t="s">
        <v>592</v>
      </c>
      <c r="R77" t="str">
        <f t="shared" si="24"/>
        <v>JenniferLTrevino</v>
      </c>
      <c r="S77" t="str">
        <f t="shared" si="25"/>
        <v>aol.com</v>
      </c>
      <c r="T77" t="str">
        <f t="shared" si="26"/>
        <v>aol</v>
      </c>
      <c r="U77" t="str">
        <f t="shared" si="27"/>
        <v>JenniferLTrevino</v>
      </c>
      <c r="V77" t="s">
        <v>593</v>
      </c>
      <c r="W77" t="str">
        <f t="shared" si="28"/>
        <v>530-</v>
      </c>
      <c r="X77" t="str">
        <f t="shared" si="29"/>
        <v>621</v>
      </c>
      <c r="Y77" t="str">
        <f t="shared" si="30"/>
        <v>-7352</v>
      </c>
      <c r="Z77" t="str">
        <f>SUBSTITUTE(V77,"-","|",2)</f>
        <v>530-621|7352</v>
      </c>
      <c r="AA77" t="str">
        <f>LEFT(V77,3)</f>
        <v>530</v>
      </c>
      <c r="AB77" t="str">
        <f>MID(V77,5,3)</f>
        <v>621</v>
      </c>
      <c r="AC77" t="str">
        <f>RIGHT(V77,4)</f>
        <v>7352</v>
      </c>
      <c r="AD77" s="3" t="s">
        <v>594</v>
      </c>
      <c r="AE77" s="3" t="str">
        <f t="shared" si="31"/>
        <v>7087</v>
      </c>
    </row>
    <row r="78" spans="1:31">
      <c r="A78" t="s">
        <v>189</v>
      </c>
      <c r="B78" t="str">
        <f t="shared" si="17"/>
        <v>James</v>
      </c>
      <c r="C78" t="s">
        <v>58</v>
      </c>
      <c r="D78" t="s">
        <v>595</v>
      </c>
      <c r="E78" t="str">
        <f t="shared" si="18"/>
        <v>Moore</v>
      </c>
      <c r="F78" t="str">
        <f t="shared" si="19"/>
        <v>JAMESMOORE</v>
      </c>
      <c r="G78" t="str">
        <f t="shared" si="20"/>
        <v>JAMESMOORE</v>
      </c>
      <c r="H78" t="str">
        <f t="shared" si="21"/>
        <v>JAM MOORE</v>
      </c>
      <c r="I78" t="str">
        <f t="shared" si="22"/>
        <v>JAM.M</v>
      </c>
      <c r="J78" t="s">
        <v>42</v>
      </c>
      <c r="K78" t="s">
        <v>596</v>
      </c>
      <c r="L78" t="s">
        <v>597</v>
      </c>
      <c r="M78" t="s">
        <v>53</v>
      </c>
      <c r="N78">
        <v>8901</v>
      </c>
      <c r="O78" t="str">
        <f t="shared" si="23"/>
        <v>08901</v>
      </c>
      <c r="P78" t="str">
        <f t="shared" si="16"/>
        <v>3751 Webster Street, New Brunswick, NJ, 8901</v>
      </c>
      <c r="Q78" t="s">
        <v>598</v>
      </c>
      <c r="R78" t="str">
        <f t="shared" si="24"/>
        <v>JamesMMoore</v>
      </c>
      <c r="S78" t="str">
        <f t="shared" si="25"/>
        <v>aol.com</v>
      </c>
      <c r="T78" t="str">
        <f t="shared" si="26"/>
        <v>aol</v>
      </c>
      <c r="U78" t="str">
        <f t="shared" si="27"/>
        <v>JamesMMoore</v>
      </c>
      <c r="V78" t="s">
        <v>599</v>
      </c>
      <c r="W78" t="str">
        <f t="shared" si="28"/>
        <v>732-</v>
      </c>
      <c r="X78" t="str">
        <f t="shared" si="29"/>
        <v>628</v>
      </c>
      <c r="Y78" t="str">
        <f t="shared" si="30"/>
        <v>-4048</v>
      </c>
      <c r="Z78" t="str">
        <f>SUBSTITUTE(V78,"-","|",2)</f>
        <v>732-628|4048</v>
      </c>
      <c r="AA78" t="str">
        <f>LEFT(V78,3)</f>
        <v>732</v>
      </c>
      <c r="AB78" t="str">
        <f>MID(V78,5,3)</f>
        <v>628</v>
      </c>
      <c r="AC78" t="str">
        <f>RIGHT(V78,4)</f>
        <v>4048</v>
      </c>
      <c r="AD78" s="3" t="s">
        <v>600</v>
      </c>
      <c r="AE78" s="3" t="str">
        <f t="shared" si="31"/>
        <v>8126</v>
      </c>
    </row>
    <row r="79" spans="1:31">
      <c r="A79" t="s">
        <v>221</v>
      </c>
      <c r="B79" t="str">
        <f t="shared" si="17"/>
        <v>Daniel</v>
      </c>
      <c r="C79" t="s">
        <v>58</v>
      </c>
      <c r="D79" t="s">
        <v>601</v>
      </c>
      <c r="E79" t="str">
        <f t="shared" si="18"/>
        <v>Weatherly</v>
      </c>
      <c r="F79" t="str">
        <f t="shared" si="19"/>
        <v>DANIELWEATHERLY</v>
      </c>
      <c r="G79" t="str">
        <f t="shared" si="20"/>
        <v>DANIELWEATHERLY</v>
      </c>
      <c r="H79" t="str">
        <f t="shared" si="21"/>
        <v>DAN WEATHERLY</v>
      </c>
      <c r="I79" t="str">
        <f t="shared" si="22"/>
        <v>DAN.W</v>
      </c>
      <c r="J79" t="s">
        <v>42</v>
      </c>
      <c r="K79" t="s">
        <v>602</v>
      </c>
      <c r="L79" t="s">
        <v>603</v>
      </c>
      <c r="M79" t="s">
        <v>604</v>
      </c>
      <c r="N79">
        <v>41039</v>
      </c>
      <c r="O79" t="str">
        <f t="shared" si="23"/>
        <v>41039</v>
      </c>
      <c r="P79" t="str">
        <f t="shared" si="16"/>
        <v>4034 May Street, Ewing, KY, 41039</v>
      </c>
      <c r="Q79" t="s">
        <v>605</v>
      </c>
      <c r="R79" t="str">
        <f t="shared" si="24"/>
        <v>DanielMWeatherly</v>
      </c>
      <c r="S79" t="str">
        <f t="shared" si="25"/>
        <v>hotmail.com</v>
      </c>
      <c r="T79" t="str">
        <f t="shared" si="26"/>
        <v>hotmail</v>
      </c>
      <c r="U79" t="str">
        <f t="shared" si="27"/>
        <v>DanielMWeatherly</v>
      </c>
      <c r="V79" t="s">
        <v>606</v>
      </c>
      <c r="W79" t="str">
        <f t="shared" si="28"/>
        <v>606-</v>
      </c>
      <c r="X79" t="str">
        <f t="shared" si="29"/>
        <v>267</v>
      </c>
      <c r="Y79" t="str">
        <f t="shared" si="30"/>
        <v>-0391</v>
      </c>
      <c r="Z79" t="str">
        <f>SUBSTITUTE(V79,"-","|",2)</f>
        <v>606-267|0391</v>
      </c>
      <c r="AA79" t="str">
        <f>LEFT(V79,3)</f>
        <v>606</v>
      </c>
      <c r="AB79" t="str">
        <f>MID(V79,5,3)</f>
        <v>267</v>
      </c>
      <c r="AC79" t="str">
        <f>RIGHT(V79,4)</f>
        <v>0391</v>
      </c>
      <c r="AD79" s="3" t="s">
        <v>607</v>
      </c>
      <c r="AE79" s="3" t="str">
        <f t="shared" si="31"/>
        <v>591</v>
      </c>
    </row>
    <row r="80" spans="1:31">
      <c r="A80" t="s">
        <v>608</v>
      </c>
      <c r="B80" t="str">
        <f t="shared" si="17"/>
        <v>Christine</v>
      </c>
      <c r="C80" t="s">
        <v>261</v>
      </c>
      <c r="D80" t="s">
        <v>609</v>
      </c>
      <c r="E80" t="str">
        <f t="shared" si="18"/>
        <v>Staff</v>
      </c>
      <c r="F80" t="str">
        <f t="shared" si="19"/>
        <v>CHRISTINESTAFF</v>
      </c>
      <c r="G80" t="str">
        <f t="shared" si="20"/>
        <v>CHRISTINESTAFF</v>
      </c>
      <c r="H80" t="str">
        <f t="shared" si="21"/>
        <v>CHR STAFF</v>
      </c>
      <c r="I80" t="str">
        <f t="shared" si="22"/>
        <v>CHR.S</v>
      </c>
      <c r="J80" t="s">
        <v>32</v>
      </c>
      <c r="K80" t="s">
        <v>610</v>
      </c>
      <c r="L80" t="s">
        <v>611</v>
      </c>
      <c r="M80" t="s">
        <v>256</v>
      </c>
      <c r="N80">
        <v>28405</v>
      </c>
      <c r="O80" t="str">
        <f t="shared" si="23"/>
        <v>28405</v>
      </c>
      <c r="P80" t="str">
        <f t="shared" si="16"/>
        <v>2560 Happy Hollow Road, Wilmington, NC, 28405</v>
      </c>
      <c r="Q80" t="s">
        <v>612</v>
      </c>
      <c r="R80" t="str">
        <f t="shared" si="24"/>
        <v>ChristineWStaff</v>
      </c>
      <c r="S80" t="str">
        <f t="shared" si="25"/>
        <v>gmail.com</v>
      </c>
      <c r="T80" t="str">
        <f t="shared" si="26"/>
        <v>gmail</v>
      </c>
      <c r="U80" t="str">
        <f t="shared" si="27"/>
        <v>ChristineWStaff</v>
      </c>
      <c r="V80" t="s">
        <v>613</v>
      </c>
      <c r="W80" t="str">
        <f t="shared" si="28"/>
        <v>910-</v>
      </c>
      <c r="X80" t="str">
        <f t="shared" si="29"/>
        <v>617</v>
      </c>
      <c r="Y80" t="str">
        <f t="shared" si="30"/>
        <v>-0285</v>
      </c>
      <c r="Z80" t="str">
        <f>SUBSTITUTE(V80,"-","|",2)</f>
        <v>910-617|0285</v>
      </c>
      <c r="AA80" t="str">
        <f>LEFT(V80,3)</f>
        <v>910</v>
      </c>
      <c r="AB80" t="str">
        <f>MID(V80,5,3)</f>
        <v>617</v>
      </c>
      <c r="AC80" t="str">
        <f>RIGHT(V80,4)</f>
        <v>0285</v>
      </c>
      <c r="AD80" s="3" t="s">
        <v>614</v>
      </c>
      <c r="AE80" s="3" t="str">
        <f t="shared" si="31"/>
        <v>5678</v>
      </c>
    </row>
    <row r="81" spans="1:31">
      <c r="A81" t="s">
        <v>615</v>
      </c>
      <c r="B81" t="str">
        <f t="shared" si="17"/>
        <v>Mary</v>
      </c>
      <c r="C81" t="s">
        <v>40</v>
      </c>
      <c r="D81" t="s">
        <v>616</v>
      </c>
      <c r="E81" t="str">
        <f t="shared" si="18"/>
        <v>Castle</v>
      </c>
      <c r="F81" t="str">
        <f t="shared" si="19"/>
        <v>MARYCASTLE</v>
      </c>
      <c r="G81" t="str">
        <f t="shared" si="20"/>
        <v>MARYCASTLE</v>
      </c>
      <c r="H81" t="str">
        <f t="shared" si="21"/>
        <v>MAR CASTLE</v>
      </c>
      <c r="I81" t="str">
        <f t="shared" si="22"/>
        <v>MAR.C</v>
      </c>
      <c r="J81" t="s">
        <v>32</v>
      </c>
      <c r="K81" t="s">
        <v>617</v>
      </c>
      <c r="L81" t="s">
        <v>618</v>
      </c>
      <c r="M81" t="s">
        <v>200</v>
      </c>
      <c r="N81">
        <v>33166</v>
      </c>
      <c r="O81" t="str">
        <f t="shared" si="23"/>
        <v>33166</v>
      </c>
      <c r="P81" t="str">
        <f t="shared" si="16"/>
        <v>4337 Arbutus Drive, Miami Springs, FL, 33166</v>
      </c>
      <c r="Q81" t="s">
        <v>619</v>
      </c>
      <c r="R81" t="str">
        <f t="shared" si="24"/>
        <v>MarySCastle</v>
      </c>
      <c r="S81" t="str">
        <f t="shared" si="25"/>
        <v>aol.com</v>
      </c>
      <c r="T81" t="str">
        <f t="shared" si="26"/>
        <v>aol</v>
      </c>
      <c r="U81" t="str">
        <f t="shared" si="27"/>
        <v>MarySCastle</v>
      </c>
      <c r="V81" t="s">
        <v>620</v>
      </c>
      <c r="W81" t="str">
        <f t="shared" si="28"/>
        <v>305-</v>
      </c>
      <c r="X81" t="str">
        <f t="shared" si="29"/>
        <v>886</v>
      </c>
      <c r="Y81" t="str">
        <f t="shared" si="30"/>
        <v>-6290</v>
      </c>
      <c r="Z81" t="str">
        <f>SUBSTITUTE(V81,"-","|",2)</f>
        <v>305-886|6290</v>
      </c>
      <c r="AA81" t="str">
        <f>LEFT(V81,3)</f>
        <v>305</v>
      </c>
      <c r="AB81" t="str">
        <f>MID(V81,5,3)</f>
        <v>886</v>
      </c>
      <c r="AC81" t="str">
        <f>RIGHT(V81,4)</f>
        <v>6290</v>
      </c>
      <c r="AD81" s="3" t="s">
        <v>621</v>
      </c>
      <c r="AE81" s="3" t="str">
        <f t="shared" si="31"/>
        <v>6026</v>
      </c>
    </row>
    <row r="82" spans="1:31">
      <c r="A82" t="s">
        <v>622</v>
      </c>
      <c r="B82" t="str">
        <f t="shared" si="17"/>
        <v>Antonio</v>
      </c>
      <c r="C82" t="s">
        <v>84</v>
      </c>
      <c r="D82" t="s">
        <v>623</v>
      </c>
      <c r="E82" t="str">
        <f t="shared" si="18"/>
        <v>Eder</v>
      </c>
      <c r="F82" t="str">
        <f t="shared" si="19"/>
        <v>ANTONIOEDER</v>
      </c>
      <c r="G82" t="str">
        <f t="shared" si="20"/>
        <v>ANTONIOEDER</v>
      </c>
      <c r="H82" t="str">
        <f t="shared" si="21"/>
        <v>ANT EDER</v>
      </c>
      <c r="I82" t="str">
        <f t="shared" si="22"/>
        <v>ANT.E</v>
      </c>
      <c r="J82" t="s">
        <v>42</v>
      </c>
      <c r="K82" t="s">
        <v>624</v>
      </c>
      <c r="L82" t="s">
        <v>625</v>
      </c>
      <c r="M82" t="s">
        <v>35</v>
      </c>
      <c r="N82">
        <v>62094</v>
      </c>
      <c r="O82" t="str">
        <f t="shared" si="23"/>
        <v>62094</v>
      </c>
      <c r="P82" t="str">
        <f t="shared" si="16"/>
        <v>4113 University Hill Road, Witt, IL, 62094</v>
      </c>
      <c r="Q82" t="s">
        <v>626</v>
      </c>
      <c r="R82" t="str">
        <f t="shared" si="24"/>
        <v>AntonioKEder</v>
      </c>
      <c r="S82" t="str">
        <f t="shared" si="25"/>
        <v>gmail.com</v>
      </c>
      <c r="T82" t="str">
        <f t="shared" si="26"/>
        <v>gmail</v>
      </c>
      <c r="U82" t="str">
        <f t="shared" si="27"/>
        <v>AntonioKEder</v>
      </c>
      <c r="V82" t="s">
        <v>627</v>
      </c>
      <c r="W82" t="str">
        <f t="shared" si="28"/>
        <v>217-</v>
      </c>
      <c r="X82" t="str">
        <f t="shared" si="29"/>
        <v>594</v>
      </c>
      <c r="Y82" t="str">
        <f t="shared" si="30"/>
        <v>-5606</v>
      </c>
      <c r="Z82" t="str">
        <f>SUBSTITUTE(V82,"-","|",2)</f>
        <v>217-594|5606</v>
      </c>
      <c r="AA82" t="str">
        <f>LEFT(V82,3)</f>
        <v>217</v>
      </c>
      <c r="AB82" t="str">
        <f>MID(V82,5,3)</f>
        <v>594</v>
      </c>
      <c r="AC82" t="str">
        <f>RIGHT(V82,4)</f>
        <v>5606</v>
      </c>
      <c r="AD82" s="3" t="s">
        <v>628</v>
      </c>
      <c r="AE82" s="3" t="str">
        <f t="shared" si="31"/>
        <v>9044</v>
      </c>
    </row>
    <row r="83" spans="1:31">
      <c r="A83" t="s">
        <v>251</v>
      </c>
      <c r="B83" t="str">
        <f t="shared" si="17"/>
        <v>Robert</v>
      </c>
      <c r="C83" t="s">
        <v>182</v>
      </c>
      <c r="D83" t="s">
        <v>629</v>
      </c>
      <c r="E83" t="str">
        <f t="shared" si="18"/>
        <v>Eldredge</v>
      </c>
      <c r="F83" t="str">
        <f t="shared" si="19"/>
        <v>ROBERTELDREDGE</v>
      </c>
      <c r="G83" t="str">
        <f t="shared" si="20"/>
        <v>ROBERTELDREDGE</v>
      </c>
      <c r="H83" t="str">
        <f t="shared" si="21"/>
        <v>ROB ELDREDGE</v>
      </c>
      <c r="I83" t="str">
        <f t="shared" si="22"/>
        <v>ROB.E</v>
      </c>
      <c r="J83" t="s">
        <v>42</v>
      </c>
      <c r="K83" t="s">
        <v>630</v>
      </c>
      <c r="L83" t="s">
        <v>631</v>
      </c>
      <c r="M83" t="s">
        <v>347</v>
      </c>
      <c r="N83">
        <v>65207</v>
      </c>
      <c r="O83" t="str">
        <f t="shared" si="23"/>
        <v>65207</v>
      </c>
      <c r="P83" t="str">
        <f t="shared" si="16"/>
        <v>2384 Penn Street, Columbia, MO, 65207</v>
      </c>
      <c r="Q83" t="s">
        <v>632</v>
      </c>
      <c r="R83" t="str">
        <f t="shared" si="24"/>
        <v>RobertCEldredge</v>
      </c>
      <c r="S83" t="str">
        <f t="shared" si="25"/>
        <v>hotmail.com</v>
      </c>
      <c r="T83" t="str">
        <f t="shared" si="26"/>
        <v>hotmail</v>
      </c>
      <c r="U83" t="str">
        <f t="shared" si="27"/>
        <v>RobertCEldredge</v>
      </c>
      <c r="V83" t="s">
        <v>633</v>
      </c>
      <c r="W83" t="str">
        <f t="shared" si="28"/>
        <v>573-</v>
      </c>
      <c r="X83" t="str">
        <f t="shared" si="29"/>
        <v>304</v>
      </c>
      <c r="Y83" t="str">
        <f t="shared" si="30"/>
        <v>-9439</v>
      </c>
      <c r="Z83" t="str">
        <f>SUBSTITUTE(V83,"-","|",2)</f>
        <v>573-304|9439</v>
      </c>
      <c r="AA83" t="str">
        <f>LEFT(V83,3)</f>
        <v>573</v>
      </c>
      <c r="AB83" t="str">
        <f>MID(V83,5,3)</f>
        <v>304</v>
      </c>
      <c r="AC83" t="str">
        <f>RIGHT(V83,4)</f>
        <v>9439</v>
      </c>
      <c r="AD83" s="3" t="s">
        <v>634</v>
      </c>
      <c r="AE83" s="3" t="str">
        <f t="shared" si="31"/>
        <v>0649</v>
      </c>
    </row>
    <row r="84" spans="1:31">
      <c r="A84" t="s">
        <v>478</v>
      </c>
      <c r="B84" t="str">
        <f t="shared" si="17"/>
        <v>Terry</v>
      </c>
      <c r="C84" t="s">
        <v>213</v>
      </c>
      <c r="D84" t="s">
        <v>635</v>
      </c>
      <c r="E84" t="str">
        <f t="shared" si="18"/>
        <v>Abernathy</v>
      </c>
      <c r="F84" t="str">
        <f t="shared" si="19"/>
        <v>TERRYABERNATHY</v>
      </c>
      <c r="G84" t="str">
        <f t="shared" si="20"/>
        <v>TERRYABERNATHY</v>
      </c>
      <c r="H84" t="str">
        <f t="shared" si="21"/>
        <v>TER ABERNATHY</v>
      </c>
      <c r="I84" t="str">
        <f t="shared" si="22"/>
        <v>TER.A</v>
      </c>
      <c r="J84" t="s">
        <v>42</v>
      </c>
      <c r="K84" t="s">
        <v>636</v>
      </c>
      <c r="L84" t="s">
        <v>637</v>
      </c>
      <c r="M84" t="s">
        <v>161</v>
      </c>
      <c r="N84">
        <v>48637</v>
      </c>
      <c r="O84" t="str">
        <f t="shared" si="23"/>
        <v>48637</v>
      </c>
      <c r="P84" t="str">
        <f t="shared" si="16"/>
        <v>2731 Mount Street, Merrill, MI, 48637</v>
      </c>
      <c r="Q84" t="s">
        <v>638</v>
      </c>
      <c r="R84" t="str">
        <f t="shared" si="24"/>
        <v>TerryAAbernathy</v>
      </c>
      <c r="S84" t="str">
        <f t="shared" si="25"/>
        <v>aol.com</v>
      </c>
      <c r="T84" t="str">
        <f t="shared" si="26"/>
        <v>aol</v>
      </c>
      <c r="U84" t="str">
        <f t="shared" si="27"/>
        <v>TerryAAbernathy</v>
      </c>
      <c r="V84" t="s">
        <v>639</v>
      </c>
      <c r="W84" t="str">
        <f t="shared" si="28"/>
        <v>989-</v>
      </c>
      <c r="X84" t="str">
        <f t="shared" si="29"/>
        <v>643</v>
      </c>
      <c r="Y84" t="str">
        <f t="shared" si="30"/>
        <v>-6862</v>
      </c>
      <c r="Z84" t="str">
        <f>SUBSTITUTE(V84,"-","|",2)</f>
        <v>989-643|6862</v>
      </c>
      <c r="AA84" t="str">
        <f>LEFT(V84,3)</f>
        <v>989</v>
      </c>
      <c r="AB84" t="str">
        <f>MID(V84,5,3)</f>
        <v>643</v>
      </c>
      <c r="AC84" t="str">
        <f>RIGHT(V84,4)</f>
        <v>6862</v>
      </c>
      <c r="AD84" s="3" t="s">
        <v>640</v>
      </c>
      <c r="AE84" s="3" t="str">
        <f t="shared" si="31"/>
        <v>6263</v>
      </c>
    </row>
    <row r="85" spans="1:31">
      <c r="A85" t="s">
        <v>615</v>
      </c>
      <c r="B85" t="str">
        <f t="shared" si="17"/>
        <v>Mary</v>
      </c>
      <c r="C85" t="s">
        <v>343</v>
      </c>
      <c r="D85" t="s">
        <v>641</v>
      </c>
      <c r="E85" t="str">
        <f t="shared" si="18"/>
        <v>Oliver</v>
      </c>
      <c r="F85" t="str">
        <f t="shared" si="19"/>
        <v>MARYOLIVER</v>
      </c>
      <c r="G85" t="str">
        <f t="shared" si="20"/>
        <v>MARYOLIVER</v>
      </c>
      <c r="H85" t="str">
        <f t="shared" si="21"/>
        <v>MAR OLIVER</v>
      </c>
      <c r="I85" t="str">
        <f t="shared" si="22"/>
        <v>MAR.O</v>
      </c>
      <c r="J85" t="s">
        <v>32</v>
      </c>
      <c r="K85" t="s">
        <v>642</v>
      </c>
      <c r="L85" t="s">
        <v>643</v>
      </c>
      <c r="M85" t="s">
        <v>96</v>
      </c>
      <c r="N85">
        <v>35222</v>
      </c>
      <c r="O85" t="str">
        <f t="shared" si="23"/>
        <v>35222</v>
      </c>
      <c r="P85" t="str">
        <f t="shared" si="16"/>
        <v>345 Turnpike Drive, Birmingham, AL, 35222</v>
      </c>
      <c r="Q85" t="s">
        <v>644</v>
      </c>
      <c r="R85" t="str">
        <f t="shared" si="24"/>
        <v>MaryLOliver</v>
      </c>
      <c r="S85" t="str">
        <f t="shared" si="25"/>
        <v>gmail.com</v>
      </c>
      <c r="T85" t="str">
        <f t="shared" si="26"/>
        <v>gmail</v>
      </c>
      <c r="U85" t="str">
        <f t="shared" si="27"/>
        <v>MaryLOliver</v>
      </c>
      <c r="V85" t="s">
        <v>645</v>
      </c>
      <c r="W85" t="str">
        <f t="shared" si="28"/>
        <v>256-</v>
      </c>
      <c r="X85" t="str">
        <f t="shared" si="29"/>
        <v>375</v>
      </c>
      <c r="Y85" t="str">
        <f t="shared" si="30"/>
        <v>-9210</v>
      </c>
      <c r="Z85" t="str">
        <f>SUBSTITUTE(V85,"-","|",2)</f>
        <v>256-375|9210</v>
      </c>
      <c r="AA85" t="str">
        <f>LEFT(V85,3)</f>
        <v>256</v>
      </c>
      <c r="AB85" t="str">
        <f>MID(V85,5,3)</f>
        <v>375</v>
      </c>
      <c r="AC85" t="str">
        <f>RIGHT(V85,4)</f>
        <v>9210</v>
      </c>
      <c r="AD85" s="3" t="s">
        <v>646</v>
      </c>
      <c r="AE85" s="3" t="str">
        <f t="shared" si="31"/>
        <v>3721</v>
      </c>
    </row>
    <row r="86" spans="1:31">
      <c r="A86" t="s">
        <v>647</v>
      </c>
      <c r="B86" t="str">
        <f t="shared" si="17"/>
        <v>Sylvia</v>
      </c>
      <c r="C86" t="s">
        <v>149</v>
      </c>
      <c r="D86" t="s">
        <v>648</v>
      </c>
      <c r="E86" t="str">
        <f t="shared" si="18"/>
        <v>Provencher</v>
      </c>
      <c r="F86" t="str">
        <f t="shared" si="19"/>
        <v>SYLVIAPROVENCHER</v>
      </c>
      <c r="G86" t="str">
        <f t="shared" si="20"/>
        <v>SYLVIAPROVENCHER</v>
      </c>
      <c r="H86" t="str">
        <f t="shared" si="21"/>
        <v>SYL PROVENCHER</v>
      </c>
      <c r="I86" t="str">
        <f t="shared" si="22"/>
        <v>SYL.P</v>
      </c>
      <c r="J86" t="s">
        <v>32</v>
      </c>
      <c r="K86" t="s">
        <v>649</v>
      </c>
      <c r="L86" t="s">
        <v>650</v>
      </c>
      <c r="M86" t="s">
        <v>104</v>
      </c>
      <c r="N86">
        <v>12842</v>
      </c>
      <c r="O86" t="str">
        <f t="shared" si="23"/>
        <v>12842</v>
      </c>
      <c r="P86" t="str">
        <f t="shared" si="16"/>
        <v>2563 Oak Drive, Indian Lake, NY, 12842</v>
      </c>
      <c r="Q86" t="s">
        <v>651</v>
      </c>
      <c r="R86" t="str">
        <f t="shared" si="24"/>
        <v>SylviaPProvencher</v>
      </c>
      <c r="S86" t="str">
        <f t="shared" si="25"/>
        <v>hotmail.com</v>
      </c>
      <c r="T86" t="str">
        <f t="shared" si="26"/>
        <v>hotmail</v>
      </c>
      <c r="U86" t="str">
        <f t="shared" si="27"/>
        <v>SylviaPProvencher</v>
      </c>
      <c r="V86" t="s">
        <v>652</v>
      </c>
      <c r="W86" t="str">
        <f t="shared" si="28"/>
        <v>518-</v>
      </c>
      <c r="X86" t="str">
        <f t="shared" si="29"/>
        <v>648</v>
      </c>
      <c r="Y86" t="str">
        <f t="shared" si="30"/>
        <v>-2133</v>
      </c>
      <c r="Z86" t="str">
        <f>SUBSTITUTE(V86,"-","|",2)</f>
        <v>518-648|2133</v>
      </c>
      <c r="AA86" t="str">
        <f>LEFT(V86,3)</f>
        <v>518</v>
      </c>
      <c r="AB86" t="str">
        <f>MID(V86,5,3)</f>
        <v>648</v>
      </c>
      <c r="AC86" t="str">
        <f>RIGHT(V86,4)</f>
        <v>2133</v>
      </c>
      <c r="AD86" s="3" t="s">
        <v>653</v>
      </c>
      <c r="AE86" s="3" t="str">
        <f t="shared" si="31"/>
        <v>743</v>
      </c>
    </row>
    <row r="87" spans="1:31">
      <c r="A87" t="s">
        <v>654</v>
      </c>
      <c r="B87" t="str">
        <f t="shared" si="17"/>
        <v>Michael</v>
      </c>
      <c r="C87" t="s">
        <v>30</v>
      </c>
      <c r="D87" t="s">
        <v>655</v>
      </c>
      <c r="E87" t="str">
        <f t="shared" si="18"/>
        <v>Butters</v>
      </c>
      <c r="F87" t="str">
        <f t="shared" si="19"/>
        <v>MICHAELBUTTERS</v>
      </c>
      <c r="G87" t="str">
        <f t="shared" si="20"/>
        <v>MICHAELBUTTERS</v>
      </c>
      <c r="H87" t="str">
        <f t="shared" si="21"/>
        <v>MIC BUTTERS</v>
      </c>
      <c r="I87" t="str">
        <f t="shared" si="22"/>
        <v>MIC.B</v>
      </c>
      <c r="J87" t="s">
        <v>42</v>
      </c>
      <c r="K87" t="s">
        <v>656</v>
      </c>
      <c r="L87" t="s">
        <v>657</v>
      </c>
      <c r="M87" t="s">
        <v>301</v>
      </c>
      <c r="N87">
        <v>44115</v>
      </c>
      <c r="O87" t="str">
        <f t="shared" si="23"/>
        <v>44115</v>
      </c>
      <c r="P87" t="str">
        <f t="shared" si="16"/>
        <v>1700 Glenwood Avenue, Cleveland, OH, 44115</v>
      </c>
      <c r="Q87" t="s">
        <v>658</v>
      </c>
      <c r="R87" t="str">
        <f t="shared" si="24"/>
        <v>MichaelJButters</v>
      </c>
      <c r="S87" t="str">
        <f t="shared" si="25"/>
        <v>aol.com</v>
      </c>
      <c r="T87" t="str">
        <f t="shared" si="26"/>
        <v>aol</v>
      </c>
      <c r="U87" t="str">
        <f t="shared" si="27"/>
        <v>MichaelJButters</v>
      </c>
      <c r="V87" t="s">
        <v>659</v>
      </c>
      <c r="W87" t="str">
        <f t="shared" si="28"/>
        <v>216-</v>
      </c>
      <c r="X87" t="str">
        <f t="shared" si="29"/>
        <v>357</v>
      </c>
      <c r="Y87" t="str">
        <f t="shared" si="30"/>
        <v>-0590</v>
      </c>
      <c r="Z87" t="str">
        <f>SUBSTITUTE(V87,"-","|",2)</f>
        <v>216-357|0590</v>
      </c>
      <c r="AA87" t="str">
        <f>LEFT(V87,3)</f>
        <v>216</v>
      </c>
      <c r="AB87" t="str">
        <f>MID(V87,5,3)</f>
        <v>357</v>
      </c>
      <c r="AC87" t="str">
        <f>RIGHT(V87,4)</f>
        <v>0590</v>
      </c>
      <c r="AD87" s="3" t="s">
        <v>660</v>
      </c>
      <c r="AE87" s="3" t="str">
        <f t="shared" si="31"/>
        <v>6212</v>
      </c>
    </row>
    <row r="88" spans="1:31">
      <c r="A88" t="s">
        <v>661</v>
      </c>
      <c r="B88" t="str">
        <f t="shared" si="17"/>
        <v>Eduardo</v>
      </c>
      <c r="C88" t="s">
        <v>58</v>
      </c>
      <c r="D88" t="s">
        <v>662</v>
      </c>
      <c r="E88" t="str">
        <f t="shared" si="18"/>
        <v>Harris</v>
      </c>
      <c r="F88" t="str">
        <f t="shared" si="19"/>
        <v>EDUARDOHARRIS</v>
      </c>
      <c r="G88" t="str">
        <f t="shared" si="20"/>
        <v>EDUARDOHARRIS</v>
      </c>
      <c r="H88" t="str">
        <f t="shared" si="21"/>
        <v>EDU HARRIS</v>
      </c>
      <c r="I88" t="str">
        <f t="shared" si="22"/>
        <v>EDU.H</v>
      </c>
      <c r="J88" t="s">
        <v>42</v>
      </c>
      <c r="K88" t="s">
        <v>663</v>
      </c>
      <c r="L88" t="s">
        <v>664</v>
      </c>
      <c r="M88" t="s">
        <v>413</v>
      </c>
      <c r="N88">
        <v>21202</v>
      </c>
      <c r="O88" t="str">
        <f t="shared" si="23"/>
        <v>21202</v>
      </c>
      <c r="P88" t="str">
        <f t="shared" si="16"/>
        <v>880 Columbia Boulevard, Baltimore, MD, 21202</v>
      </c>
      <c r="Q88" t="s">
        <v>665</v>
      </c>
      <c r="R88" t="str">
        <f t="shared" si="24"/>
        <v>EduardoMHarris</v>
      </c>
      <c r="S88" t="str">
        <f t="shared" si="25"/>
        <v>gmail.com</v>
      </c>
      <c r="T88" t="str">
        <f t="shared" si="26"/>
        <v>gmail</v>
      </c>
      <c r="U88" t="str">
        <f t="shared" si="27"/>
        <v>EduardoMHarris</v>
      </c>
      <c r="V88" t="s">
        <v>666</v>
      </c>
      <c r="W88" t="str">
        <f t="shared" si="28"/>
        <v>410-</v>
      </c>
      <c r="X88" t="str">
        <f t="shared" si="29"/>
        <v>403</v>
      </c>
      <c r="Y88" t="str">
        <f t="shared" si="30"/>
        <v>-8606</v>
      </c>
      <c r="Z88" t="str">
        <f>SUBSTITUTE(V88,"-","|",2)</f>
        <v>410-403|8606</v>
      </c>
      <c r="AA88" t="str">
        <f>LEFT(V88,3)</f>
        <v>410</v>
      </c>
      <c r="AB88" t="str">
        <f>MID(V88,5,3)</f>
        <v>403</v>
      </c>
      <c r="AC88" t="str">
        <f>RIGHT(V88,4)</f>
        <v>8606</v>
      </c>
      <c r="AD88" s="3" t="s">
        <v>667</v>
      </c>
      <c r="AE88" s="3" t="str">
        <f t="shared" si="31"/>
        <v>9829</v>
      </c>
    </row>
    <row r="89" spans="1:31">
      <c r="A89" t="s">
        <v>668</v>
      </c>
      <c r="B89" t="str">
        <f t="shared" si="17"/>
        <v>Janet</v>
      </c>
      <c r="C89" t="s">
        <v>166</v>
      </c>
      <c r="D89" t="s">
        <v>669</v>
      </c>
      <c r="E89" t="str">
        <f t="shared" si="18"/>
        <v>Godfrey</v>
      </c>
      <c r="F89" t="str">
        <f t="shared" si="19"/>
        <v>JANETGODFREY</v>
      </c>
      <c r="G89" t="str">
        <f t="shared" si="20"/>
        <v>JANETGODFREY</v>
      </c>
      <c r="H89" t="str">
        <f t="shared" si="21"/>
        <v>JAN GODFREY</v>
      </c>
      <c r="I89" t="str">
        <f t="shared" si="22"/>
        <v>JAN.G</v>
      </c>
      <c r="J89" t="s">
        <v>32</v>
      </c>
      <c r="K89" t="s">
        <v>670</v>
      </c>
      <c r="L89" t="s">
        <v>671</v>
      </c>
      <c r="M89" t="s">
        <v>256</v>
      </c>
      <c r="N89">
        <v>27601</v>
      </c>
      <c r="O89" t="str">
        <f t="shared" si="23"/>
        <v>27601</v>
      </c>
      <c r="P89" t="str">
        <f t="shared" si="16"/>
        <v>4249 Johnson Street, Raleigh, NC, 27601</v>
      </c>
      <c r="Q89" t="s">
        <v>672</v>
      </c>
      <c r="R89" t="str">
        <f t="shared" si="24"/>
        <v>JanetBGodfrey</v>
      </c>
      <c r="S89" t="str">
        <f t="shared" si="25"/>
        <v>hotmail.com</v>
      </c>
      <c r="T89" t="str">
        <f t="shared" si="26"/>
        <v>hotmail</v>
      </c>
      <c r="U89" t="str">
        <f t="shared" si="27"/>
        <v>JanetBGodfrey</v>
      </c>
      <c r="V89" t="s">
        <v>673</v>
      </c>
      <c r="W89" t="str">
        <f t="shared" si="28"/>
        <v>919-</v>
      </c>
      <c r="X89" t="str">
        <f t="shared" si="29"/>
        <v>860</v>
      </c>
      <c r="Y89" t="str">
        <f t="shared" si="30"/>
        <v>-7881</v>
      </c>
      <c r="Z89" t="str">
        <f>SUBSTITUTE(V89,"-","|",2)</f>
        <v>919-860|7881</v>
      </c>
      <c r="AA89" t="str">
        <f>LEFT(V89,3)</f>
        <v>919</v>
      </c>
      <c r="AB89" t="str">
        <f>MID(V89,5,3)</f>
        <v>860</v>
      </c>
      <c r="AC89" t="str">
        <f>RIGHT(V89,4)</f>
        <v>7881</v>
      </c>
      <c r="AD89" s="3" t="s">
        <v>674</v>
      </c>
      <c r="AE89" s="3" t="str">
        <f t="shared" si="31"/>
        <v>9086</v>
      </c>
    </row>
    <row r="90" spans="1:31">
      <c r="A90" t="s">
        <v>675</v>
      </c>
      <c r="B90" t="str">
        <f t="shared" si="17"/>
        <v>Thelma</v>
      </c>
      <c r="C90" t="s">
        <v>132</v>
      </c>
      <c r="D90" t="s">
        <v>676</v>
      </c>
      <c r="E90" t="str">
        <f t="shared" si="18"/>
        <v>Mccarthy</v>
      </c>
      <c r="F90" t="str">
        <f t="shared" si="19"/>
        <v>THELMAMCCARTHY</v>
      </c>
      <c r="G90" t="str">
        <f t="shared" si="20"/>
        <v>THELMAMCCARTHY</v>
      </c>
      <c r="H90" t="str">
        <f t="shared" si="21"/>
        <v>THE MCCARTHY</v>
      </c>
      <c r="I90" t="str">
        <f t="shared" si="22"/>
        <v>THE.M</v>
      </c>
      <c r="J90" t="s">
        <v>32</v>
      </c>
      <c r="K90" t="s">
        <v>677</v>
      </c>
      <c r="L90" t="s">
        <v>678</v>
      </c>
      <c r="M90" t="s">
        <v>265</v>
      </c>
      <c r="N90">
        <v>1801</v>
      </c>
      <c r="O90" t="str">
        <f t="shared" si="23"/>
        <v>01801</v>
      </c>
      <c r="P90" t="str">
        <f t="shared" si="16"/>
        <v>1722 Romano Street, Woburn, MA, 1801</v>
      </c>
      <c r="Q90" t="s">
        <v>679</v>
      </c>
      <c r="R90" t="str">
        <f t="shared" si="24"/>
        <v>ThelmaRMcCarthy</v>
      </c>
      <c r="S90" t="str">
        <f t="shared" si="25"/>
        <v>hotmail.com</v>
      </c>
      <c r="T90" t="str">
        <f t="shared" si="26"/>
        <v>hotmail</v>
      </c>
      <c r="U90" t="str">
        <f t="shared" si="27"/>
        <v>ThelmaRMcCarthy</v>
      </c>
      <c r="V90" t="s">
        <v>680</v>
      </c>
      <c r="W90" t="str">
        <f t="shared" si="28"/>
        <v>781-</v>
      </c>
      <c r="X90" t="str">
        <f t="shared" si="29"/>
        <v>405</v>
      </c>
      <c r="Y90" t="str">
        <f t="shared" si="30"/>
        <v>-0924</v>
      </c>
      <c r="Z90" t="str">
        <f>SUBSTITUTE(V90,"-","|",2)</f>
        <v>781-405|0924</v>
      </c>
      <c r="AA90" t="str">
        <f>LEFT(V90,3)</f>
        <v>781</v>
      </c>
      <c r="AB90" t="str">
        <f>MID(V90,5,3)</f>
        <v>405</v>
      </c>
      <c r="AC90" t="str">
        <f>RIGHT(V90,4)</f>
        <v>0924</v>
      </c>
      <c r="AD90" s="3" t="s">
        <v>681</v>
      </c>
      <c r="AE90" s="3" t="str">
        <f t="shared" si="31"/>
        <v>414</v>
      </c>
    </row>
    <row r="91" spans="1:31">
      <c r="A91" t="s">
        <v>682</v>
      </c>
      <c r="B91" t="str">
        <f t="shared" si="17"/>
        <v>Fran</v>
      </c>
      <c r="C91" t="s">
        <v>58</v>
      </c>
      <c r="D91" t="s">
        <v>683</v>
      </c>
      <c r="E91" t="str">
        <f t="shared" si="18"/>
        <v>Ritchie</v>
      </c>
      <c r="F91" t="str">
        <f t="shared" si="19"/>
        <v>FRANRITCHIE</v>
      </c>
      <c r="G91" t="str">
        <f t="shared" si="20"/>
        <v>FRANRITCHIE</v>
      </c>
      <c r="H91" t="str">
        <f t="shared" si="21"/>
        <v>FRA RITCHIE</v>
      </c>
      <c r="I91" t="str">
        <f t="shared" si="22"/>
        <v>FRA.R</v>
      </c>
      <c r="J91" t="s">
        <v>32</v>
      </c>
      <c r="K91" t="s">
        <v>684</v>
      </c>
      <c r="L91" t="s">
        <v>685</v>
      </c>
      <c r="M91" t="s">
        <v>104</v>
      </c>
      <c r="N91">
        <v>12547</v>
      </c>
      <c r="O91" t="str">
        <f t="shared" si="23"/>
        <v>12547</v>
      </c>
      <c r="P91" t="str">
        <f t="shared" si="16"/>
        <v>4518 Old Dear Lane, Milton, NY, 12547</v>
      </c>
      <c r="Q91" t="s">
        <v>686</v>
      </c>
      <c r="R91" t="str">
        <f t="shared" si="24"/>
        <v>FranMRitchie</v>
      </c>
      <c r="S91" t="str">
        <f t="shared" si="25"/>
        <v>hotmail.com</v>
      </c>
      <c r="T91" t="str">
        <f t="shared" si="26"/>
        <v>hotmail</v>
      </c>
      <c r="U91" t="str">
        <f t="shared" si="27"/>
        <v>FranMRitchie</v>
      </c>
      <c r="V91" t="s">
        <v>687</v>
      </c>
      <c r="W91" t="str">
        <f t="shared" si="28"/>
        <v>845-</v>
      </c>
      <c r="X91" t="str">
        <f t="shared" si="29"/>
        <v>795</v>
      </c>
      <c r="Y91" t="str">
        <f t="shared" si="30"/>
        <v>-1923</v>
      </c>
      <c r="Z91" t="str">
        <f>SUBSTITUTE(V91,"-","|",2)</f>
        <v>845-795|1923</v>
      </c>
      <c r="AA91" t="str">
        <f>LEFT(V91,3)</f>
        <v>845</v>
      </c>
      <c r="AB91" t="str">
        <f>MID(V91,5,3)</f>
        <v>795</v>
      </c>
      <c r="AC91" t="str">
        <f>RIGHT(V91,4)</f>
        <v>1923</v>
      </c>
      <c r="AD91" s="3" t="s">
        <v>688</v>
      </c>
      <c r="AE91" s="3" t="str">
        <f t="shared" si="31"/>
        <v>094</v>
      </c>
    </row>
    <row r="92" spans="1:31">
      <c r="A92" t="s">
        <v>236</v>
      </c>
      <c r="B92" t="str">
        <f t="shared" si="17"/>
        <v>Lisa</v>
      </c>
      <c r="C92" t="s">
        <v>67</v>
      </c>
      <c r="D92" t="s">
        <v>689</v>
      </c>
      <c r="E92" t="str">
        <f t="shared" si="18"/>
        <v>Thompson</v>
      </c>
      <c r="F92" t="str">
        <f t="shared" si="19"/>
        <v>LISATHOMPSON</v>
      </c>
      <c r="G92" t="str">
        <f t="shared" si="20"/>
        <v>LISATHOMPSON</v>
      </c>
      <c r="H92" t="str">
        <f t="shared" si="21"/>
        <v>LIS THOMPSON</v>
      </c>
      <c r="I92" t="str">
        <f t="shared" si="22"/>
        <v>LIS.T</v>
      </c>
      <c r="J92" t="s">
        <v>32</v>
      </c>
      <c r="K92" t="s">
        <v>690</v>
      </c>
      <c r="L92" t="s">
        <v>691</v>
      </c>
      <c r="M92" t="s">
        <v>482</v>
      </c>
      <c r="N92">
        <v>74401</v>
      </c>
      <c r="O92" t="str">
        <f t="shared" si="23"/>
        <v>74401</v>
      </c>
      <c r="P92" t="str">
        <f t="shared" si="16"/>
        <v>210 Heather Sees Way, Muskogee, OK, 74401</v>
      </c>
      <c r="Q92" t="s">
        <v>692</v>
      </c>
      <c r="R92" t="str">
        <f t="shared" si="24"/>
        <v>LisaDThompson</v>
      </c>
      <c r="S92" t="str">
        <f t="shared" si="25"/>
        <v>hotmail.com</v>
      </c>
      <c r="T92" t="str">
        <f t="shared" si="26"/>
        <v>hotmail</v>
      </c>
      <c r="U92" t="str">
        <f t="shared" si="27"/>
        <v>LisaDThompson</v>
      </c>
      <c r="V92" t="s">
        <v>693</v>
      </c>
      <c r="W92" t="str">
        <f t="shared" si="28"/>
        <v>918-</v>
      </c>
      <c r="X92" t="str">
        <f t="shared" si="29"/>
        <v>684</v>
      </c>
      <c r="Y92" t="str">
        <f t="shared" si="30"/>
        <v>-5481</v>
      </c>
      <c r="Z92" t="str">
        <f>SUBSTITUTE(V92,"-","|",2)</f>
        <v>918-684|5481</v>
      </c>
      <c r="AA92" t="str">
        <f>LEFT(V92,3)</f>
        <v>918</v>
      </c>
      <c r="AB92" t="str">
        <f>MID(V92,5,3)</f>
        <v>684</v>
      </c>
      <c r="AC92" t="str">
        <f>RIGHT(V92,4)</f>
        <v>5481</v>
      </c>
      <c r="AD92" s="3" t="s">
        <v>694</v>
      </c>
      <c r="AE92" s="3" t="str">
        <f t="shared" si="31"/>
        <v>289</v>
      </c>
    </row>
    <row r="93" spans="1:31">
      <c r="A93" t="s">
        <v>342</v>
      </c>
      <c r="B93" t="str">
        <f t="shared" si="17"/>
        <v>George</v>
      </c>
      <c r="C93" t="s">
        <v>343</v>
      </c>
      <c r="D93" t="s">
        <v>695</v>
      </c>
      <c r="E93" t="str">
        <f t="shared" si="18"/>
        <v>Greggs</v>
      </c>
      <c r="F93" t="str">
        <f t="shared" si="19"/>
        <v>GEORGEGREGGS</v>
      </c>
      <c r="G93" t="str">
        <f t="shared" si="20"/>
        <v>GEORGEGREGGS</v>
      </c>
      <c r="H93" t="str">
        <f t="shared" si="21"/>
        <v>GEO GREGGS</v>
      </c>
      <c r="I93" t="str">
        <f t="shared" si="22"/>
        <v>GEO.G</v>
      </c>
      <c r="J93" t="s">
        <v>42</v>
      </c>
      <c r="K93" t="s">
        <v>696</v>
      </c>
      <c r="L93" t="s">
        <v>697</v>
      </c>
      <c r="M93" t="s">
        <v>413</v>
      </c>
      <c r="N93">
        <v>20781</v>
      </c>
      <c r="O93" t="str">
        <f t="shared" si="23"/>
        <v>20781</v>
      </c>
      <c r="P93" t="str">
        <f t="shared" si="16"/>
        <v>2906 Cost Avenue, Hyattsville, MD, 20781</v>
      </c>
      <c r="Q93" t="s">
        <v>698</v>
      </c>
      <c r="R93" t="str">
        <f t="shared" si="24"/>
        <v>GeorgeLGreggs</v>
      </c>
      <c r="S93" t="str">
        <f t="shared" si="25"/>
        <v>aol.com</v>
      </c>
      <c r="T93" t="str">
        <f t="shared" si="26"/>
        <v>aol</v>
      </c>
      <c r="U93" t="str">
        <f t="shared" si="27"/>
        <v>GeorgeLGreggs</v>
      </c>
      <c r="V93" t="s">
        <v>699</v>
      </c>
      <c r="W93" t="str">
        <f t="shared" si="28"/>
        <v>301-</v>
      </c>
      <c r="X93" t="str">
        <f t="shared" si="29"/>
        <v>403</v>
      </c>
      <c r="Y93" t="str">
        <f t="shared" si="30"/>
        <v>-7868</v>
      </c>
      <c r="Z93" t="str">
        <f>SUBSTITUTE(V93,"-","|",2)</f>
        <v>301-403|7868</v>
      </c>
      <c r="AA93" t="str">
        <f>LEFT(V93,3)</f>
        <v>301</v>
      </c>
      <c r="AB93" t="str">
        <f>MID(V93,5,3)</f>
        <v>403</v>
      </c>
      <c r="AC93" t="str">
        <f>RIGHT(V93,4)</f>
        <v>7868</v>
      </c>
      <c r="AD93" s="3" t="s">
        <v>700</v>
      </c>
      <c r="AE93" s="3" t="str">
        <f t="shared" si="31"/>
        <v>3869</v>
      </c>
    </row>
    <row r="94" spans="1:31">
      <c r="A94" t="s">
        <v>701</v>
      </c>
      <c r="B94" t="str">
        <f t="shared" si="17"/>
        <v>Dora</v>
      </c>
      <c r="C94" t="s">
        <v>40</v>
      </c>
      <c r="D94" t="s">
        <v>702</v>
      </c>
      <c r="E94" t="str">
        <f t="shared" si="18"/>
        <v>Burris</v>
      </c>
      <c r="F94" t="str">
        <f t="shared" si="19"/>
        <v>DORABURRIS</v>
      </c>
      <c r="G94" t="str">
        <f t="shared" si="20"/>
        <v>DORABURRIS</v>
      </c>
      <c r="H94" t="str">
        <f t="shared" si="21"/>
        <v>DOR BURRIS</v>
      </c>
      <c r="I94" t="str">
        <f t="shared" si="22"/>
        <v>DOR.B</v>
      </c>
      <c r="J94" t="s">
        <v>32</v>
      </c>
      <c r="K94" t="s">
        <v>703</v>
      </c>
      <c r="L94" t="s">
        <v>232</v>
      </c>
      <c r="M94" t="s">
        <v>45</v>
      </c>
      <c r="N94">
        <v>90017</v>
      </c>
      <c r="O94" t="str">
        <f t="shared" si="23"/>
        <v>90017</v>
      </c>
      <c r="P94" t="str">
        <f t="shared" si="16"/>
        <v>4692 Clarence Court, Los Angeles, CA, 90017</v>
      </c>
      <c r="Q94" t="s">
        <v>704</v>
      </c>
      <c r="R94" t="str">
        <f t="shared" si="24"/>
        <v>DoraSBurris</v>
      </c>
      <c r="S94" t="str">
        <f t="shared" si="25"/>
        <v>gmail.com</v>
      </c>
      <c r="T94" t="str">
        <f t="shared" si="26"/>
        <v>gmail</v>
      </c>
      <c r="U94" t="str">
        <f t="shared" si="27"/>
        <v>DoraSBurris</v>
      </c>
      <c r="V94" t="s">
        <v>705</v>
      </c>
      <c r="W94" t="str">
        <f t="shared" si="28"/>
        <v>909-</v>
      </c>
      <c r="X94" t="str">
        <f t="shared" si="29"/>
        <v>960</v>
      </c>
      <c r="Y94" t="str">
        <f t="shared" si="30"/>
        <v>-4178</v>
      </c>
      <c r="Z94" t="str">
        <f>SUBSTITUTE(V94,"-","|",2)</f>
        <v>909-960|4178</v>
      </c>
      <c r="AA94" t="str">
        <f>LEFT(V94,3)</f>
        <v>909</v>
      </c>
      <c r="AB94" t="str">
        <f>MID(V94,5,3)</f>
        <v>960</v>
      </c>
      <c r="AC94" t="str">
        <f>RIGHT(V94,4)</f>
        <v>4178</v>
      </c>
      <c r="AD94" s="3" t="s">
        <v>706</v>
      </c>
      <c r="AE94" s="3" t="str">
        <f t="shared" si="31"/>
        <v>9420</v>
      </c>
    </row>
    <row r="95" spans="1:31">
      <c r="A95" t="s">
        <v>707</v>
      </c>
      <c r="B95" t="str">
        <f t="shared" si="17"/>
        <v>Wanda</v>
      </c>
      <c r="C95" t="s">
        <v>67</v>
      </c>
      <c r="D95" t="s">
        <v>708</v>
      </c>
      <c r="E95" t="str">
        <f t="shared" si="18"/>
        <v>Schultz</v>
      </c>
      <c r="F95" t="str">
        <f t="shared" si="19"/>
        <v>WANDASCHULTZ</v>
      </c>
      <c r="G95" t="str">
        <f t="shared" si="20"/>
        <v>WANDASCHULTZ</v>
      </c>
      <c r="H95" t="str">
        <f t="shared" si="21"/>
        <v>WAN SCHULTZ</v>
      </c>
      <c r="I95" t="str">
        <f t="shared" si="22"/>
        <v>WAN.S</v>
      </c>
      <c r="J95" t="s">
        <v>32</v>
      </c>
      <c r="K95" t="s">
        <v>709</v>
      </c>
      <c r="L95" t="s">
        <v>710</v>
      </c>
      <c r="M95" t="s">
        <v>45</v>
      </c>
      <c r="N95">
        <v>94112</v>
      </c>
      <c r="O95" t="str">
        <f t="shared" si="23"/>
        <v>94112</v>
      </c>
      <c r="P95" t="str">
        <f t="shared" si="16"/>
        <v>2161 Delaware Avenue, San Francisco, CA, 94112</v>
      </c>
      <c r="Q95" t="s">
        <v>711</v>
      </c>
      <c r="R95" t="str">
        <f t="shared" si="24"/>
        <v>WandaDSchultz</v>
      </c>
      <c r="S95" t="str">
        <f t="shared" si="25"/>
        <v>hotmail.com</v>
      </c>
      <c r="T95" t="str">
        <f t="shared" si="26"/>
        <v>hotmail</v>
      </c>
      <c r="U95" t="str">
        <f t="shared" si="27"/>
        <v>WandaDSchultz</v>
      </c>
      <c r="V95" t="s">
        <v>712</v>
      </c>
      <c r="W95" t="str">
        <f t="shared" si="28"/>
        <v>415-</v>
      </c>
      <c r="X95" t="str">
        <f t="shared" si="29"/>
        <v>239</v>
      </c>
      <c r="Y95" t="str">
        <f t="shared" si="30"/>
        <v>-2560</v>
      </c>
      <c r="Z95" t="str">
        <f>SUBSTITUTE(V95,"-","|",2)</f>
        <v>415-239|2560</v>
      </c>
      <c r="AA95" t="str">
        <f>LEFT(V95,3)</f>
        <v>415</v>
      </c>
      <c r="AB95" t="str">
        <f>MID(V95,5,3)</f>
        <v>239</v>
      </c>
      <c r="AC95" t="str">
        <f>RIGHT(V95,4)</f>
        <v>2560</v>
      </c>
      <c r="AD95" s="3" t="s">
        <v>713</v>
      </c>
      <c r="AE95" s="3" t="str">
        <f t="shared" si="31"/>
        <v>281</v>
      </c>
    </row>
    <row r="96" spans="1:31">
      <c r="A96" t="s">
        <v>714</v>
      </c>
      <c r="B96" t="str">
        <f t="shared" si="17"/>
        <v>Jason</v>
      </c>
      <c r="C96" t="s">
        <v>343</v>
      </c>
      <c r="D96" t="s">
        <v>715</v>
      </c>
      <c r="E96" t="str">
        <f t="shared" si="18"/>
        <v>Pavon</v>
      </c>
      <c r="F96" t="str">
        <f t="shared" si="19"/>
        <v>JASONPAVON</v>
      </c>
      <c r="G96" t="str">
        <f t="shared" si="20"/>
        <v>JASONPAVON</v>
      </c>
      <c r="H96" t="str">
        <f t="shared" si="21"/>
        <v>JAS PAVON</v>
      </c>
      <c r="I96" t="str">
        <f t="shared" si="22"/>
        <v>JAS.P</v>
      </c>
      <c r="J96" t="s">
        <v>42</v>
      </c>
      <c r="K96" t="s">
        <v>716</v>
      </c>
      <c r="L96" t="s">
        <v>717</v>
      </c>
      <c r="M96" t="s">
        <v>604</v>
      </c>
      <c r="N96">
        <v>40391</v>
      </c>
      <c r="O96" t="str">
        <f t="shared" si="23"/>
        <v>40391</v>
      </c>
      <c r="P96" t="str">
        <f t="shared" si="16"/>
        <v>4012 Zappia Drive, Winchester, KY, 40391</v>
      </c>
      <c r="Q96" t="s">
        <v>718</v>
      </c>
      <c r="R96" t="str">
        <f t="shared" si="24"/>
        <v>JasonLPavon</v>
      </c>
      <c r="S96" t="str">
        <f t="shared" si="25"/>
        <v>hotmail.com</v>
      </c>
      <c r="T96" t="str">
        <f t="shared" si="26"/>
        <v>hotmail</v>
      </c>
      <c r="U96" t="str">
        <f t="shared" si="27"/>
        <v>JasonLPavon</v>
      </c>
      <c r="V96" t="s">
        <v>719</v>
      </c>
      <c r="W96" t="str">
        <f t="shared" si="28"/>
        <v>859-</v>
      </c>
      <c r="X96" t="str">
        <f t="shared" si="29"/>
        <v>319</v>
      </c>
      <c r="Y96" t="str">
        <f t="shared" si="30"/>
        <v>-0659</v>
      </c>
      <c r="Z96" t="str">
        <f>SUBSTITUTE(V96,"-","|",2)</f>
        <v>859-319|0659</v>
      </c>
      <c r="AA96" t="str">
        <f>LEFT(V96,3)</f>
        <v>859</v>
      </c>
      <c r="AB96" t="str">
        <f>MID(V96,5,3)</f>
        <v>319</v>
      </c>
      <c r="AC96" t="str">
        <f>RIGHT(V96,4)</f>
        <v>0659</v>
      </c>
      <c r="AD96" s="3" t="s">
        <v>720</v>
      </c>
      <c r="AE96" s="3" t="str">
        <f t="shared" si="31"/>
        <v>060</v>
      </c>
    </row>
    <row r="97" spans="1:31">
      <c r="A97" t="s">
        <v>721</v>
      </c>
      <c r="B97" t="str">
        <f t="shared" si="17"/>
        <v>Jannette</v>
      </c>
      <c r="C97" t="s">
        <v>30</v>
      </c>
      <c r="D97" t="s">
        <v>335</v>
      </c>
      <c r="E97" t="str">
        <f t="shared" si="18"/>
        <v>Anthony</v>
      </c>
      <c r="F97" t="str">
        <f t="shared" si="19"/>
        <v>JANNETTEANTHONY</v>
      </c>
      <c r="G97" t="str">
        <f t="shared" si="20"/>
        <v>JANNETTEANTHONY</v>
      </c>
      <c r="H97" t="str">
        <f t="shared" si="21"/>
        <v>JAN ANTHONY</v>
      </c>
      <c r="I97" t="str">
        <f t="shared" si="22"/>
        <v>JAN.A</v>
      </c>
      <c r="J97" t="s">
        <v>32</v>
      </c>
      <c r="K97" t="s">
        <v>722</v>
      </c>
      <c r="L97" t="s">
        <v>723</v>
      </c>
      <c r="M97" t="s">
        <v>45</v>
      </c>
      <c r="N97">
        <v>94704</v>
      </c>
      <c r="O97" t="str">
        <f t="shared" si="23"/>
        <v>94704</v>
      </c>
      <c r="P97" t="str">
        <f t="shared" si="16"/>
        <v>900 Green Avenue, Berkeley, CA, 94704</v>
      </c>
      <c r="Q97" t="s">
        <v>724</v>
      </c>
      <c r="R97" t="str">
        <f t="shared" si="24"/>
        <v>JannetteJAnthony</v>
      </c>
      <c r="S97" t="str">
        <f t="shared" si="25"/>
        <v>gmail.com</v>
      </c>
      <c r="T97" t="str">
        <f t="shared" si="26"/>
        <v>gmail</v>
      </c>
      <c r="U97" t="str">
        <f t="shared" si="27"/>
        <v>JannetteJAnthony</v>
      </c>
      <c r="V97" t="s">
        <v>725</v>
      </c>
      <c r="W97" t="str">
        <f t="shared" si="28"/>
        <v>510-</v>
      </c>
      <c r="X97" t="str">
        <f t="shared" si="29"/>
        <v>849</v>
      </c>
      <c r="Y97" t="str">
        <f t="shared" si="30"/>
        <v>-5795</v>
      </c>
      <c r="Z97" t="str">
        <f>SUBSTITUTE(V97,"-","|",2)</f>
        <v>510-849|5795</v>
      </c>
      <c r="AA97" t="str">
        <f>LEFT(V97,3)</f>
        <v>510</v>
      </c>
      <c r="AB97" t="str">
        <f>MID(V97,5,3)</f>
        <v>849</v>
      </c>
      <c r="AC97" t="str">
        <f>RIGHT(V97,4)</f>
        <v>5795</v>
      </c>
      <c r="AD97" s="3" t="s">
        <v>726</v>
      </c>
      <c r="AE97" s="3" t="str">
        <f t="shared" si="31"/>
        <v>8295</v>
      </c>
    </row>
    <row r="98" spans="1:31">
      <c r="A98" t="s">
        <v>727</v>
      </c>
      <c r="B98" t="str">
        <f t="shared" si="17"/>
        <v>Katrina</v>
      </c>
      <c r="C98" t="s">
        <v>132</v>
      </c>
      <c r="D98" t="s">
        <v>728</v>
      </c>
      <c r="E98" t="str">
        <f t="shared" si="18"/>
        <v>Stull</v>
      </c>
      <c r="F98" t="str">
        <f t="shared" si="19"/>
        <v>KATRINASTULL</v>
      </c>
      <c r="G98" t="str">
        <f t="shared" si="20"/>
        <v>KATRINASTULL</v>
      </c>
      <c r="H98" t="str">
        <f t="shared" si="21"/>
        <v>KAT STULL</v>
      </c>
      <c r="I98" t="str">
        <f t="shared" si="22"/>
        <v>KAT.S</v>
      </c>
      <c r="J98" t="s">
        <v>32</v>
      </c>
      <c r="K98" t="s">
        <v>729</v>
      </c>
      <c r="L98" t="s">
        <v>730</v>
      </c>
      <c r="M98" t="s">
        <v>35</v>
      </c>
      <c r="N98">
        <v>62701</v>
      </c>
      <c r="O98" t="str">
        <f t="shared" si="23"/>
        <v>62701</v>
      </c>
      <c r="P98" t="str">
        <f t="shared" si="16"/>
        <v>4489 Isaacs Creek Road, Springfield, IL, 62701</v>
      </c>
      <c r="Q98" t="s">
        <v>731</v>
      </c>
      <c r="R98" t="str">
        <f t="shared" si="24"/>
        <v>KatrinaRStull</v>
      </c>
      <c r="S98" t="str">
        <f t="shared" si="25"/>
        <v>hotmail.com</v>
      </c>
      <c r="T98" t="str">
        <f t="shared" si="26"/>
        <v>hotmail</v>
      </c>
      <c r="U98" t="str">
        <f t="shared" si="27"/>
        <v>KatrinaRStull</v>
      </c>
      <c r="V98" t="s">
        <v>732</v>
      </c>
      <c r="W98" t="str">
        <f t="shared" si="28"/>
        <v>217-</v>
      </c>
      <c r="X98" t="str">
        <f t="shared" si="29"/>
        <v>470</v>
      </c>
      <c r="Y98" t="str">
        <f t="shared" si="30"/>
        <v>-3255</v>
      </c>
      <c r="Z98" t="str">
        <f>SUBSTITUTE(V98,"-","|",2)</f>
        <v>217-470|3255</v>
      </c>
      <c r="AA98" t="str">
        <f>LEFT(V98,3)</f>
        <v>217</v>
      </c>
      <c r="AB98" t="str">
        <f>MID(V98,5,3)</f>
        <v>470</v>
      </c>
      <c r="AC98" t="str">
        <f>RIGHT(V98,4)</f>
        <v>3255</v>
      </c>
      <c r="AD98" s="3" t="s">
        <v>733</v>
      </c>
      <c r="AE98" s="3" t="str">
        <f t="shared" si="31"/>
        <v>269</v>
      </c>
    </row>
    <row r="99" spans="1:31">
      <c r="A99" t="s">
        <v>734</v>
      </c>
      <c r="B99" t="str">
        <f t="shared" si="17"/>
        <v>Russell</v>
      </c>
      <c r="C99" t="s">
        <v>30</v>
      </c>
      <c r="D99" t="s">
        <v>735</v>
      </c>
      <c r="E99" t="str">
        <f t="shared" si="18"/>
        <v>Lofton</v>
      </c>
      <c r="F99" t="str">
        <f t="shared" si="19"/>
        <v>RUSSELLLOFTON</v>
      </c>
      <c r="G99" t="str">
        <f t="shared" si="20"/>
        <v>RUSSELLLOFTON</v>
      </c>
      <c r="H99" t="str">
        <f t="shared" si="21"/>
        <v>RUS LOFTON</v>
      </c>
      <c r="I99" t="str">
        <f t="shared" si="22"/>
        <v>RUS.L</v>
      </c>
      <c r="J99" t="s">
        <v>42</v>
      </c>
      <c r="K99" t="s">
        <v>736</v>
      </c>
      <c r="L99" t="s">
        <v>192</v>
      </c>
      <c r="M99" t="s">
        <v>88</v>
      </c>
      <c r="N99">
        <v>77032</v>
      </c>
      <c r="O99" t="str">
        <f t="shared" si="23"/>
        <v>77032</v>
      </c>
      <c r="P99" t="str">
        <f t="shared" si="16"/>
        <v>321 Wines Lane, Houston, TX, 77032</v>
      </c>
      <c r="Q99" t="s">
        <v>737</v>
      </c>
      <c r="R99" t="str">
        <f t="shared" si="24"/>
        <v>RussellJLofton</v>
      </c>
      <c r="S99" t="str">
        <f t="shared" si="25"/>
        <v>aol.com</v>
      </c>
      <c r="T99" t="str">
        <f t="shared" si="26"/>
        <v>aol</v>
      </c>
      <c r="U99" t="str">
        <f t="shared" si="27"/>
        <v>RussellJLofton</v>
      </c>
      <c r="V99" t="s">
        <v>738</v>
      </c>
      <c r="W99" t="str">
        <f t="shared" si="28"/>
        <v>832-</v>
      </c>
      <c r="X99" t="str">
        <f t="shared" si="29"/>
        <v>265</v>
      </c>
      <c r="Y99" t="str">
        <f t="shared" si="30"/>
        <v>-2122</v>
      </c>
      <c r="Z99" t="str">
        <f>SUBSTITUTE(V99,"-","|",2)</f>
        <v>832-265|2122</v>
      </c>
      <c r="AA99" t="str">
        <f>LEFT(V99,3)</f>
        <v>832</v>
      </c>
      <c r="AB99" t="str">
        <f>MID(V99,5,3)</f>
        <v>265</v>
      </c>
      <c r="AC99" t="str">
        <f>RIGHT(V99,4)</f>
        <v>2122</v>
      </c>
      <c r="AD99" s="3" t="s">
        <v>739</v>
      </c>
      <c r="AE99" s="3" t="str">
        <f t="shared" si="31"/>
        <v>7539</v>
      </c>
    </row>
    <row r="100" spans="1:31">
      <c r="A100" t="s">
        <v>66</v>
      </c>
      <c r="B100" t="str">
        <f t="shared" si="17"/>
        <v>John</v>
      </c>
      <c r="C100" t="s">
        <v>166</v>
      </c>
      <c r="D100" t="s">
        <v>740</v>
      </c>
      <c r="E100" t="str">
        <f t="shared" si="18"/>
        <v>May</v>
      </c>
      <c r="F100" t="str">
        <f t="shared" si="19"/>
        <v>JOHNMAY</v>
      </c>
      <c r="G100" t="str">
        <f t="shared" si="20"/>
        <v>JOHNMAY</v>
      </c>
      <c r="H100" t="str">
        <f t="shared" si="21"/>
        <v>JOH MAY</v>
      </c>
      <c r="I100" t="str">
        <f t="shared" si="22"/>
        <v>JOH.M</v>
      </c>
      <c r="J100" t="s">
        <v>42</v>
      </c>
      <c r="K100" t="s">
        <v>741</v>
      </c>
      <c r="L100" t="s">
        <v>185</v>
      </c>
      <c r="M100" t="s">
        <v>35</v>
      </c>
      <c r="N100">
        <v>60634</v>
      </c>
      <c r="O100" t="str">
        <f t="shared" si="23"/>
        <v>60634</v>
      </c>
      <c r="P100" t="str">
        <f t="shared" si="16"/>
        <v>361 Tator Patch Road, Chicago, IL, 60634</v>
      </c>
      <c r="Q100" t="s">
        <v>742</v>
      </c>
      <c r="R100" t="str">
        <f t="shared" si="24"/>
        <v>JohnBMay</v>
      </c>
      <c r="S100" t="str">
        <f t="shared" si="25"/>
        <v>hotmail.com</v>
      </c>
      <c r="T100" t="str">
        <f t="shared" si="26"/>
        <v>hotmail</v>
      </c>
      <c r="U100" t="str">
        <f t="shared" si="27"/>
        <v>JohnBMay</v>
      </c>
      <c r="V100" t="s">
        <v>743</v>
      </c>
      <c r="W100" t="str">
        <f t="shared" si="28"/>
        <v>312-</v>
      </c>
      <c r="X100" t="str">
        <f t="shared" si="29"/>
        <v>826</v>
      </c>
      <c r="Y100" t="str">
        <f t="shared" si="30"/>
        <v>-8635</v>
      </c>
      <c r="Z100" t="str">
        <f>SUBSTITUTE(V100,"-","|",2)</f>
        <v>312-826|8635</v>
      </c>
      <c r="AA100" t="str">
        <f>LEFT(V100,3)</f>
        <v>312</v>
      </c>
      <c r="AB100" t="str">
        <f>MID(V100,5,3)</f>
        <v>826</v>
      </c>
      <c r="AC100" t="str">
        <f>RIGHT(V100,4)</f>
        <v>8635</v>
      </c>
      <c r="AD100" s="3" t="s">
        <v>744</v>
      </c>
      <c r="AE100" s="3" t="str">
        <f t="shared" si="31"/>
        <v>6483</v>
      </c>
    </row>
    <row r="101" spans="1:31">
      <c r="A101" t="s">
        <v>745</v>
      </c>
      <c r="B101" t="str">
        <f t="shared" si="17"/>
        <v>Ann</v>
      </c>
      <c r="C101" t="s">
        <v>182</v>
      </c>
      <c r="D101" t="s">
        <v>746</v>
      </c>
      <c r="E101" t="str">
        <f t="shared" si="18"/>
        <v>Tilton</v>
      </c>
      <c r="F101" t="str">
        <f t="shared" si="19"/>
        <v>ANNTILTON</v>
      </c>
      <c r="G101" t="str">
        <f t="shared" si="20"/>
        <v>ANNTILTON</v>
      </c>
      <c r="H101" t="str">
        <f t="shared" si="21"/>
        <v>ANN TILTON</v>
      </c>
      <c r="I101" t="str">
        <f t="shared" si="22"/>
        <v>ANN.T</v>
      </c>
      <c r="J101" t="s">
        <v>32</v>
      </c>
      <c r="K101" t="s">
        <v>747</v>
      </c>
      <c r="L101" t="s">
        <v>748</v>
      </c>
      <c r="M101" t="s">
        <v>749</v>
      </c>
      <c r="N101">
        <v>3455</v>
      </c>
      <c r="O101" t="str">
        <f t="shared" si="23"/>
        <v>03455</v>
      </c>
      <c r="P101" t="str">
        <f t="shared" si="16"/>
        <v>2721 Peck Street, Marlboro, NH, 3455</v>
      </c>
      <c r="Q101" t="s">
        <v>750</v>
      </c>
      <c r="R101" t="str">
        <f t="shared" si="24"/>
        <v>AnnCTilton</v>
      </c>
      <c r="S101" t="str">
        <f t="shared" si="25"/>
        <v>hotmail.com</v>
      </c>
      <c r="T101" t="str">
        <f t="shared" si="26"/>
        <v>hotmail</v>
      </c>
      <c r="U101" t="str">
        <f t="shared" si="27"/>
        <v>AnnCTilton</v>
      </c>
      <c r="V101" t="s">
        <v>751</v>
      </c>
      <c r="W101" t="str">
        <f t="shared" si="28"/>
        <v>603-</v>
      </c>
      <c r="X101" t="str">
        <f t="shared" si="29"/>
        <v>876</v>
      </c>
      <c r="Y101" t="str">
        <f t="shared" si="30"/>
        <v>-8330</v>
      </c>
      <c r="Z101" t="str">
        <f>SUBSTITUTE(V101,"-","|",2)</f>
        <v>603-876|8330</v>
      </c>
      <c r="AA101" t="str">
        <f>LEFT(V101,3)</f>
        <v>603</v>
      </c>
      <c r="AB101" t="str">
        <f>MID(V101,5,3)</f>
        <v>876</v>
      </c>
      <c r="AC101" t="str">
        <f>RIGHT(V101,4)</f>
        <v>8330</v>
      </c>
      <c r="AD101" s="3" t="s">
        <v>752</v>
      </c>
      <c r="AE101" s="3" t="str">
        <f t="shared" si="31"/>
        <v>1094</v>
      </c>
    </row>
    <row r="102" spans="1:31">
      <c r="A102" t="s">
        <v>753</v>
      </c>
      <c r="B102" t="str">
        <f t="shared" si="17"/>
        <v>Eric</v>
      </c>
      <c r="C102" t="s">
        <v>297</v>
      </c>
      <c r="D102" t="s">
        <v>754</v>
      </c>
      <c r="E102" t="str">
        <f t="shared" si="18"/>
        <v>Young</v>
      </c>
      <c r="F102" t="str">
        <f t="shared" si="19"/>
        <v>ERICYOUNG</v>
      </c>
      <c r="G102" t="str">
        <f t="shared" si="20"/>
        <v>ERICYOUNG</v>
      </c>
      <c r="H102" t="str">
        <f t="shared" si="21"/>
        <v>ERI YOUNG</v>
      </c>
      <c r="I102" t="str">
        <f t="shared" si="22"/>
        <v>ERI.Y</v>
      </c>
      <c r="J102" t="s">
        <v>42</v>
      </c>
      <c r="K102" t="s">
        <v>755</v>
      </c>
      <c r="L102" t="s">
        <v>756</v>
      </c>
      <c r="M102" t="s">
        <v>45</v>
      </c>
      <c r="N102">
        <v>94005</v>
      </c>
      <c r="O102" t="str">
        <f t="shared" si="23"/>
        <v>94005</v>
      </c>
      <c r="P102" t="str">
        <f t="shared" si="16"/>
        <v>4267 Duck Creek Road, Brisbane, CA, 94005</v>
      </c>
      <c r="Q102" t="s">
        <v>757</v>
      </c>
      <c r="R102" t="str">
        <f t="shared" si="24"/>
        <v>EricTYoung</v>
      </c>
      <c r="S102" t="str">
        <f t="shared" si="25"/>
        <v>hotmail.com</v>
      </c>
      <c r="T102" t="str">
        <f t="shared" si="26"/>
        <v>hotmail</v>
      </c>
      <c r="U102" t="str">
        <f t="shared" si="27"/>
        <v>EricTYoung</v>
      </c>
      <c r="V102" t="s">
        <v>758</v>
      </c>
      <c r="W102" t="str">
        <f t="shared" si="28"/>
        <v>650-</v>
      </c>
      <c r="X102" t="str">
        <f t="shared" si="29"/>
        <v>776</v>
      </c>
      <c r="Y102" t="str">
        <f t="shared" si="30"/>
        <v>-7291</v>
      </c>
      <c r="Z102" t="str">
        <f>SUBSTITUTE(V102,"-","|",2)</f>
        <v>650-776|7291</v>
      </c>
      <c r="AA102" t="str">
        <f>LEFT(V102,3)</f>
        <v>650</v>
      </c>
      <c r="AB102" t="str">
        <f>MID(V102,5,3)</f>
        <v>776</v>
      </c>
      <c r="AC102" t="str">
        <f>RIGHT(V102,4)</f>
        <v>7291</v>
      </c>
      <c r="AD102" s="3" t="s">
        <v>759</v>
      </c>
      <c r="AE102" s="3" t="str">
        <f t="shared" si="31"/>
        <v>681</v>
      </c>
    </row>
    <row r="103" spans="1:31">
      <c r="A103" t="s">
        <v>189</v>
      </c>
      <c r="B103" t="str">
        <f t="shared" si="17"/>
        <v>James</v>
      </c>
      <c r="C103" t="s">
        <v>124</v>
      </c>
      <c r="D103" t="s">
        <v>760</v>
      </c>
      <c r="E103" t="str">
        <f t="shared" si="18"/>
        <v>Friar</v>
      </c>
      <c r="F103" t="str">
        <f t="shared" si="19"/>
        <v>JAMESFRIAR</v>
      </c>
      <c r="G103" t="str">
        <f t="shared" si="20"/>
        <v>JAMESFRIAR</v>
      </c>
      <c r="H103" t="str">
        <f t="shared" si="21"/>
        <v>JAM FRIAR</v>
      </c>
      <c r="I103" t="str">
        <f t="shared" si="22"/>
        <v>JAM.F</v>
      </c>
      <c r="J103" t="s">
        <v>42</v>
      </c>
      <c r="K103" t="s">
        <v>761</v>
      </c>
      <c r="L103" t="s">
        <v>762</v>
      </c>
      <c r="M103" t="s">
        <v>256</v>
      </c>
      <c r="N103">
        <v>28801</v>
      </c>
      <c r="O103" t="str">
        <f t="shared" si="23"/>
        <v>28801</v>
      </c>
      <c r="P103" t="str">
        <f t="shared" si="16"/>
        <v>4778 Hannah Street, Asheville, NC, 28801</v>
      </c>
      <c r="Q103" t="s">
        <v>763</v>
      </c>
      <c r="R103" t="str">
        <f t="shared" si="24"/>
        <v>JamesFFriar</v>
      </c>
      <c r="S103" t="str">
        <f t="shared" si="25"/>
        <v>aol.com</v>
      </c>
      <c r="T103" t="str">
        <f t="shared" si="26"/>
        <v>aol</v>
      </c>
      <c r="U103" t="str">
        <f t="shared" si="27"/>
        <v>JamesFFriar</v>
      </c>
      <c r="V103" t="s">
        <v>764</v>
      </c>
      <c r="W103" t="str">
        <f t="shared" si="28"/>
        <v>828-</v>
      </c>
      <c r="X103" t="str">
        <f t="shared" si="29"/>
        <v>377</v>
      </c>
      <c r="Y103" t="str">
        <f t="shared" si="30"/>
        <v>-2478</v>
      </c>
      <c r="Z103" t="str">
        <f>SUBSTITUTE(V103,"-","|",2)</f>
        <v>828-377|2478</v>
      </c>
      <c r="AA103" t="str">
        <f>LEFT(V103,3)</f>
        <v>828</v>
      </c>
      <c r="AB103" t="str">
        <f>MID(V103,5,3)</f>
        <v>377</v>
      </c>
      <c r="AC103" t="str">
        <f>RIGHT(V103,4)</f>
        <v>2478</v>
      </c>
      <c r="AD103" s="3" t="s">
        <v>765</v>
      </c>
      <c r="AE103" s="3" t="str">
        <f t="shared" si="31"/>
        <v>368</v>
      </c>
    </row>
    <row r="104" spans="1:31">
      <c r="A104" t="s">
        <v>471</v>
      </c>
      <c r="B104" t="str">
        <f t="shared" si="17"/>
        <v>David</v>
      </c>
      <c r="C104" t="s">
        <v>67</v>
      </c>
      <c r="D104" t="s">
        <v>766</v>
      </c>
      <c r="E104" t="str">
        <f t="shared" si="18"/>
        <v>Crum</v>
      </c>
      <c r="F104" t="str">
        <f t="shared" si="19"/>
        <v>DAVIDCRUM</v>
      </c>
      <c r="G104" t="str">
        <f t="shared" si="20"/>
        <v>DAVIDCRUM</v>
      </c>
      <c r="H104" t="str">
        <f t="shared" si="21"/>
        <v>DAV CRUM</v>
      </c>
      <c r="I104" t="str">
        <f t="shared" si="22"/>
        <v>DAV.C</v>
      </c>
      <c r="J104" t="s">
        <v>42</v>
      </c>
      <c r="K104" t="s">
        <v>767</v>
      </c>
      <c r="L104" t="s">
        <v>768</v>
      </c>
      <c r="M104" t="s">
        <v>161</v>
      </c>
      <c r="N104">
        <v>48201</v>
      </c>
      <c r="O104" t="str">
        <f t="shared" si="23"/>
        <v>48201</v>
      </c>
      <c r="P104" t="str">
        <f t="shared" si="16"/>
        <v>1604 Woodbridge Lane, Detroit, MI, 48201</v>
      </c>
      <c r="Q104" t="s">
        <v>769</v>
      </c>
      <c r="R104" t="str">
        <f t="shared" si="24"/>
        <v>DavidDCrum</v>
      </c>
      <c r="S104" t="str">
        <f t="shared" si="25"/>
        <v>gmail.com</v>
      </c>
      <c r="T104" t="str">
        <f t="shared" si="26"/>
        <v>gmail</v>
      </c>
      <c r="U104" t="str">
        <f t="shared" si="27"/>
        <v>DavidDCrum</v>
      </c>
      <c r="V104" t="s">
        <v>770</v>
      </c>
      <c r="W104" t="str">
        <f t="shared" si="28"/>
        <v>313-</v>
      </c>
      <c r="X104" t="str">
        <f t="shared" si="29"/>
        <v>577</v>
      </c>
      <c r="Y104" t="str">
        <f t="shared" si="30"/>
        <v>-3173</v>
      </c>
      <c r="Z104" t="str">
        <f>SUBSTITUTE(V104,"-","|",2)</f>
        <v>313-577|3173</v>
      </c>
      <c r="AA104" t="str">
        <f>LEFT(V104,3)</f>
        <v>313</v>
      </c>
      <c r="AB104" t="str">
        <f>MID(V104,5,3)</f>
        <v>577</v>
      </c>
      <c r="AC104" t="str">
        <f>RIGHT(V104,4)</f>
        <v>3173</v>
      </c>
      <c r="AD104" s="3" t="s">
        <v>771</v>
      </c>
      <c r="AE104" s="3" t="str">
        <f t="shared" si="31"/>
        <v>5201</v>
      </c>
    </row>
    <row r="105" spans="1:31">
      <c r="A105" t="s">
        <v>772</v>
      </c>
      <c r="B105" t="str">
        <f t="shared" si="17"/>
        <v>Gloria</v>
      </c>
      <c r="C105" t="s">
        <v>40</v>
      </c>
      <c r="D105" t="s">
        <v>773</v>
      </c>
      <c r="E105" t="str">
        <f t="shared" si="18"/>
        <v>Torres</v>
      </c>
      <c r="F105" t="str">
        <f t="shared" si="19"/>
        <v>GLORIATORRES</v>
      </c>
      <c r="G105" t="str">
        <f t="shared" si="20"/>
        <v>GLORIATORRES</v>
      </c>
      <c r="H105" t="str">
        <f t="shared" si="21"/>
        <v>GLO TORRES</v>
      </c>
      <c r="I105" t="str">
        <f t="shared" si="22"/>
        <v>GLO.T</v>
      </c>
      <c r="J105" t="s">
        <v>32</v>
      </c>
      <c r="K105" t="s">
        <v>774</v>
      </c>
      <c r="L105" t="s">
        <v>775</v>
      </c>
      <c r="M105" t="s">
        <v>776</v>
      </c>
      <c r="N105">
        <v>99503</v>
      </c>
      <c r="O105" t="str">
        <f t="shared" si="23"/>
        <v>99503</v>
      </c>
      <c r="P105" t="str">
        <f t="shared" si="16"/>
        <v>1576 Jerry Toth Drive, Anchorage, AK, 99503</v>
      </c>
      <c r="Q105" t="s">
        <v>777</v>
      </c>
      <c r="R105" t="str">
        <f t="shared" si="24"/>
        <v>GloriaSTorres</v>
      </c>
      <c r="S105" t="str">
        <f t="shared" si="25"/>
        <v>gmail.com</v>
      </c>
      <c r="T105" t="str">
        <f t="shared" si="26"/>
        <v>gmail</v>
      </c>
      <c r="U105" t="str">
        <f t="shared" si="27"/>
        <v>GloriaSTorres</v>
      </c>
      <c r="V105" t="s">
        <v>778</v>
      </c>
      <c r="W105" t="str">
        <f t="shared" si="28"/>
        <v>907-</v>
      </c>
      <c r="X105" t="str">
        <f t="shared" si="29"/>
        <v>563</v>
      </c>
      <c r="Y105" t="str">
        <f t="shared" si="30"/>
        <v>-9002</v>
      </c>
      <c r="Z105" t="str">
        <f>SUBSTITUTE(V105,"-","|",2)</f>
        <v>907-563|9002</v>
      </c>
      <c r="AA105" t="str">
        <f>LEFT(V105,3)</f>
        <v>907</v>
      </c>
      <c r="AB105" t="str">
        <f>MID(V105,5,3)</f>
        <v>563</v>
      </c>
      <c r="AC105" t="str">
        <f>RIGHT(V105,4)</f>
        <v>9002</v>
      </c>
      <c r="AD105" s="3" t="s">
        <v>779</v>
      </c>
      <c r="AE105" s="3" t="str">
        <f t="shared" si="31"/>
        <v>490</v>
      </c>
    </row>
    <row r="106" spans="1:31">
      <c r="A106" t="s">
        <v>780</v>
      </c>
      <c r="B106" t="str">
        <f t="shared" si="17"/>
        <v>Derrick</v>
      </c>
      <c r="C106" t="s">
        <v>781</v>
      </c>
      <c r="D106" t="s">
        <v>410</v>
      </c>
      <c r="E106" t="str">
        <f t="shared" si="18"/>
        <v>Brown</v>
      </c>
      <c r="F106" t="str">
        <f t="shared" si="19"/>
        <v>DERRICKBROWN</v>
      </c>
      <c r="G106" t="str">
        <f t="shared" si="20"/>
        <v>DERRICKBROWN</v>
      </c>
      <c r="H106" t="str">
        <f t="shared" si="21"/>
        <v>DER BROWN</v>
      </c>
      <c r="I106" t="str">
        <f t="shared" si="22"/>
        <v>DER.B</v>
      </c>
      <c r="J106" t="s">
        <v>42</v>
      </c>
      <c r="K106" t="s">
        <v>782</v>
      </c>
      <c r="L106" t="s">
        <v>783</v>
      </c>
      <c r="M106" t="s">
        <v>96</v>
      </c>
      <c r="N106">
        <v>36067</v>
      </c>
      <c r="O106" t="str">
        <f t="shared" si="23"/>
        <v>36067</v>
      </c>
      <c r="P106" t="str">
        <f t="shared" si="16"/>
        <v>2359 Turkey Pen Lane, Holtville, AL, 36067</v>
      </c>
      <c r="Q106" t="s">
        <v>784</v>
      </c>
      <c r="R106" t="str">
        <f t="shared" si="24"/>
        <v>DerrickNBrown</v>
      </c>
      <c r="S106" t="str">
        <f t="shared" si="25"/>
        <v>gmail.com</v>
      </c>
      <c r="T106" t="str">
        <f t="shared" si="26"/>
        <v>gmail</v>
      </c>
      <c r="U106" t="str">
        <f t="shared" si="27"/>
        <v>DerrickNBrown</v>
      </c>
      <c r="V106" t="s">
        <v>785</v>
      </c>
      <c r="W106" t="str">
        <f t="shared" si="28"/>
        <v>334-</v>
      </c>
      <c r="X106" t="str">
        <f t="shared" si="29"/>
        <v>569</v>
      </c>
      <c r="Y106" t="str">
        <f t="shared" si="30"/>
        <v>-9587</v>
      </c>
      <c r="Z106" t="str">
        <f>SUBSTITUTE(V106,"-","|",2)</f>
        <v>334-569|9587</v>
      </c>
      <c r="AA106" t="str">
        <f>LEFT(V106,3)</f>
        <v>334</v>
      </c>
      <c r="AB106" t="str">
        <f>MID(V106,5,3)</f>
        <v>569</v>
      </c>
      <c r="AC106" t="str">
        <f>RIGHT(V106,4)</f>
        <v>9587</v>
      </c>
      <c r="AD106" s="3" t="s">
        <v>786</v>
      </c>
      <c r="AE106" s="3" t="str">
        <f t="shared" si="31"/>
        <v>747</v>
      </c>
    </row>
    <row r="107" spans="1:31">
      <c r="A107" t="s">
        <v>471</v>
      </c>
      <c r="B107" t="str">
        <f t="shared" si="17"/>
        <v>David</v>
      </c>
      <c r="C107" t="s">
        <v>182</v>
      </c>
      <c r="D107" t="s">
        <v>787</v>
      </c>
      <c r="E107" t="str">
        <f t="shared" si="18"/>
        <v>Allen</v>
      </c>
      <c r="F107" t="str">
        <f t="shared" si="19"/>
        <v>DAVIDALLEN</v>
      </c>
      <c r="G107" t="str">
        <f t="shared" si="20"/>
        <v>DAVIDALLEN</v>
      </c>
      <c r="H107" t="str">
        <f t="shared" si="21"/>
        <v>DAV ALLEN</v>
      </c>
      <c r="I107" t="str">
        <f t="shared" si="22"/>
        <v>DAV.A</v>
      </c>
      <c r="J107" t="s">
        <v>42</v>
      </c>
      <c r="K107" t="s">
        <v>788</v>
      </c>
      <c r="L107" t="s">
        <v>789</v>
      </c>
      <c r="M107" t="s">
        <v>790</v>
      </c>
      <c r="N107">
        <v>5301</v>
      </c>
      <c r="O107" t="str">
        <f t="shared" si="23"/>
        <v>05301</v>
      </c>
      <c r="P107" t="str">
        <f t="shared" si="16"/>
        <v>3143 Hardman Road, Brattleboro, VT, 5301</v>
      </c>
      <c r="Q107" t="s">
        <v>791</v>
      </c>
      <c r="R107" t="str">
        <f t="shared" si="24"/>
        <v>DavidCAllen</v>
      </c>
      <c r="S107" t="str">
        <f t="shared" si="25"/>
        <v>hotmail.com</v>
      </c>
      <c r="T107" t="str">
        <f t="shared" si="26"/>
        <v>hotmail</v>
      </c>
      <c r="U107" t="str">
        <f t="shared" si="27"/>
        <v>DavidCAllen</v>
      </c>
      <c r="V107" t="s">
        <v>792</v>
      </c>
      <c r="W107" t="str">
        <f t="shared" si="28"/>
        <v>802-</v>
      </c>
      <c r="X107" t="str">
        <f t="shared" si="29"/>
        <v>817</v>
      </c>
      <c r="Y107" t="str">
        <f t="shared" si="30"/>
        <v>-4962</v>
      </c>
      <c r="Z107" t="str">
        <f>SUBSTITUTE(V107,"-","|",2)</f>
        <v>802-817|4962</v>
      </c>
      <c r="AA107" t="str">
        <f>LEFT(V107,3)</f>
        <v>802</v>
      </c>
      <c r="AB107" t="str">
        <f>MID(V107,5,3)</f>
        <v>817</v>
      </c>
      <c r="AC107" t="str">
        <f>RIGHT(V107,4)</f>
        <v>4962</v>
      </c>
      <c r="AD107" s="3" t="s">
        <v>793</v>
      </c>
      <c r="AE107" s="3" t="str">
        <f t="shared" si="31"/>
        <v>9079</v>
      </c>
    </row>
    <row r="108" spans="1:31">
      <c r="A108" t="s">
        <v>794</v>
      </c>
      <c r="B108" t="str">
        <f t="shared" si="17"/>
        <v>Tracie</v>
      </c>
      <c r="C108" t="s">
        <v>166</v>
      </c>
      <c r="D108" t="s">
        <v>795</v>
      </c>
      <c r="E108" t="str">
        <f t="shared" si="18"/>
        <v>Sellers</v>
      </c>
      <c r="F108" t="str">
        <f t="shared" si="19"/>
        <v>TRACIESELLERS</v>
      </c>
      <c r="G108" t="str">
        <f t="shared" si="20"/>
        <v>TRACIESELLERS</v>
      </c>
      <c r="H108" t="str">
        <f t="shared" si="21"/>
        <v>TRA SELLERS</v>
      </c>
      <c r="I108" t="str">
        <f t="shared" si="22"/>
        <v>TRA.S</v>
      </c>
      <c r="J108" t="s">
        <v>32</v>
      </c>
      <c r="K108" t="s">
        <v>796</v>
      </c>
      <c r="L108" t="s">
        <v>797</v>
      </c>
      <c r="M108" t="s">
        <v>256</v>
      </c>
      <c r="N108">
        <v>28501</v>
      </c>
      <c r="O108" t="str">
        <f t="shared" si="23"/>
        <v>28501</v>
      </c>
      <c r="P108" t="str">
        <f t="shared" si="16"/>
        <v>472 Fort Street, Kinston, NC, 28501</v>
      </c>
      <c r="Q108" t="s">
        <v>798</v>
      </c>
      <c r="R108" t="str">
        <f t="shared" si="24"/>
        <v>TracieBSellers</v>
      </c>
      <c r="S108" t="str">
        <f t="shared" si="25"/>
        <v>hotmail.com</v>
      </c>
      <c r="T108" t="str">
        <f t="shared" si="26"/>
        <v>hotmail</v>
      </c>
      <c r="U108" t="str">
        <f t="shared" si="27"/>
        <v>TracieBSellers</v>
      </c>
      <c r="V108" t="s">
        <v>799</v>
      </c>
      <c r="W108" t="str">
        <f t="shared" si="28"/>
        <v>252-</v>
      </c>
      <c r="X108" t="str">
        <f t="shared" si="29"/>
        <v>939</v>
      </c>
      <c r="Y108" t="str">
        <f t="shared" si="30"/>
        <v>-9519</v>
      </c>
      <c r="Z108" t="str">
        <f>SUBSTITUTE(V108,"-","|",2)</f>
        <v>252-939|9519</v>
      </c>
      <c r="AA108" t="str">
        <f>LEFT(V108,3)</f>
        <v>252</v>
      </c>
      <c r="AB108" t="str">
        <f>MID(V108,5,3)</f>
        <v>939</v>
      </c>
      <c r="AC108" t="str">
        <f>RIGHT(V108,4)</f>
        <v>9519</v>
      </c>
      <c r="AD108" s="3" t="s">
        <v>800</v>
      </c>
      <c r="AE108" s="3" t="str">
        <f t="shared" si="31"/>
        <v>977</v>
      </c>
    </row>
    <row r="109" spans="1:31">
      <c r="A109" t="s">
        <v>801</v>
      </c>
      <c r="B109" t="str">
        <f t="shared" si="17"/>
        <v>Rocky</v>
      </c>
      <c r="C109" t="s">
        <v>182</v>
      </c>
      <c r="D109" t="s">
        <v>802</v>
      </c>
      <c r="E109" t="str">
        <f t="shared" si="18"/>
        <v>Weatherspoon</v>
      </c>
      <c r="F109" t="str">
        <f t="shared" si="19"/>
        <v>ROCKYWEATHERSPOON</v>
      </c>
      <c r="G109" t="str">
        <f t="shared" si="20"/>
        <v>ROCKYWEATHERSPOON</v>
      </c>
      <c r="H109" t="str">
        <f t="shared" si="21"/>
        <v>ROC WEATHERSPOON</v>
      </c>
      <c r="I109" t="str">
        <f t="shared" si="22"/>
        <v>ROC.W</v>
      </c>
      <c r="J109" t="s">
        <v>42</v>
      </c>
      <c r="K109" t="s">
        <v>803</v>
      </c>
      <c r="L109" t="s">
        <v>804</v>
      </c>
      <c r="M109" t="s">
        <v>104</v>
      </c>
      <c r="N109">
        <v>11801</v>
      </c>
      <c r="O109" t="str">
        <f t="shared" si="23"/>
        <v>11801</v>
      </c>
      <c r="P109" t="str">
        <f t="shared" si="16"/>
        <v>850 Stanley Avenue, Hicksville, NY, 11801</v>
      </c>
      <c r="Q109" t="s">
        <v>805</v>
      </c>
      <c r="R109" t="str">
        <f t="shared" si="24"/>
        <v>RockyCWeatherspoon</v>
      </c>
      <c r="S109" t="str">
        <f t="shared" si="25"/>
        <v>hotmail.com</v>
      </c>
      <c r="T109" t="str">
        <f t="shared" si="26"/>
        <v>hotmail</v>
      </c>
      <c r="U109" t="str">
        <f t="shared" si="27"/>
        <v>RockyCWeatherspoon</v>
      </c>
      <c r="V109" t="s">
        <v>806</v>
      </c>
      <c r="W109" t="str">
        <f t="shared" si="28"/>
        <v>516-</v>
      </c>
      <c r="X109" t="str">
        <f t="shared" si="29"/>
        <v>545</v>
      </c>
      <c r="Y109" t="str">
        <f t="shared" si="30"/>
        <v>-5590</v>
      </c>
      <c r="Z109" t="str">
        <f>SUBSTITUTE(V109,"-","|",2)</f>
        <v>516-545|5590</v>
      </c>
      <c r="AA109" t="str">
        <f>LEFT(V109,3)</f>
        <v>516</v>
      </c>
      <c r="AB109" t="str">
        <f>MID(V109,5,3)</f>
        <v>545</v>
      </c>
      <c r="AC109" t="str">
        <f>RIGHT(V109,4)</f>
        <v>5590</v>
      </c>
      <c r="AD109" s="3" t="s">
        <v>807</v>
      </c>
      <c r="AE109" s="3" t="str">
        <f t="shared" si="31"/>
        <v>3513</v>
      </c>
    </row>
    <row r="110" spans="1:31">
      <c r="A110" t="s">
        <v>808</v>
      </c>
      <c r="B110" t="str">
        <f t="shared" si="17"/>
        <v>Kevin</v>
      </c>
      <c r="C110" t="s">
        <v>58</v>
      </c>
      <c r="D110" t="s">
        <v>809</v>
      </c>
      <c r="E110" t="str">
        <f t="shared" si="18"/>
        <v>Gibson</v>
      </c>
      <c r="F110" t="str">
        <f t="shared" si="19"/>
        <v>KEVINGIBSON</v>
      </c>
      <c r="G110" t="str">
        <f t="shared" si="20"/>
        <v>KEVINGIBSON</v>
      </c>
      <c r="H110" t="str">
        <f t="shared" si="21"/>
        <v>KEV GIBSON</v>
      </c>
      <c r="I110" t="str">
        <f t="shared" si="22"/>
        <v>KEV.G</v>
      </c>
      <c r="J110" t="s">
        <v>42</v>
      </c>
      <c r="K110" t="s">
        <v>810</v>
      </c>
      <c r="L110" t="s">
        <v>232</v>
      </c>
      <c r="M110" t="s">
        <v>45</v>
      </c>
      <c r="N110">
        <v>90017</v>
      </c>
      <c r="O110" t="str">
        <f t="shared" si="23"/>
        <v>90017</v>
      </c>
      <c r="P110" t="str">
        <f t="shared" si="16"/>
        <v>4577 Zimmerman Lane, Los Angeles, CA, 90017</v>
      </c>
      <c r="Q110" t="s">
        <v>811</v>
      </c>
      <c r="R110" t="str">
        <f t="shared" si="24"/>
        <v>KevinMGibson</v>
      </c>
      <c r="S110" t="str">
        <f t="shared" si="25"/>
        <v>hotmail.com</v>
      </c>
      <c r="T110" t="str">
        <f t="shared" si="26"/>
        <v>hotmail</v>
      </c>
      <c r="U110" t="str">
        <f t="shared" si="27"/>
        <v>KevinMGibson</v>
      </c>
      <c r="V110" t="s">
        <v>812</v>
      </c>
      <c r="W110" t="str">
        <f t="shared" si="28"/>
        <v>213-</v>
      </c>
      <c r="X110" t="str">
        <f t="shared" si="29"/>
        <v>517</v>
      </c>
      <c r="Y110" t="str">
        <f t="shared" si="30"/>
        <v>-4820</v>
      </c>
      <c r="Z110" t="str">
        <f>SUBSTITUTE(V110,"-","|",2)</f>
        <v>213-517|4820</v>
      </c>
      <c r="AA110" t="str">
        <f>LEFT(V110,3)</f>
        <v>213</v>
      </c>
      <c r="AB110" t="str">
        <f>MID(V110,5,3)</f>
        <v>517</v>
      </c>
      <c r="AC110" t="str">
        <f>RIGHT(V110,4)</f>
        <v>4820</v>
      </c>
      <c r="AD110" s="3" t="s">
        <v>813</v>
      </c>
      <c r="AE110" s="3" t="str">
        <f t="shared" si="31"/>
        <v>868</v>
      </c>
    </row>
    <row r="111" spans="1:31">
      <c r="A111" t="s">
        <v>814</v>
      </c>
      <c r="B111" t="str">
        <f t="shared" si="17"/>
        <v>Elaine</v>
      </c>
      <c r="C111" t="s">
        <v>166</v>
      </c>
      <c r="D111" t="s">
        <v>815</v>
      </c>
      <c r="E111" t="str">
        <f t="shared" si="18"/>
        <v>Cunningham</v>
      </c>
      <c r="F111" t="str">
        <f t="shared" si="19"/>
        <v>ELAINECUNNINGHAM</v>
      </c>
      <c r="G111" t="str">
        <f t="shared" si="20"/>
        <v>ELAINECUNNINGHAM</v>
      </c>
      <c r="H111" t="str">
        <f t="shared" si="21"/>
        <v>ELA CUNNINGHAM</v>
      </c>
      <c r="I111" t="str">
        <f t="shared" si="22"/>
        <v>ELA.C</v>
      </c>
      <c r="J111" t="s">
        <v>32</v>
      </c>
      <c r="K111" t="s">
        <v>816</v>
      </c>
      <c r="L111" t="s">
        <v>817</v>
      </c>
      <c r="M111" t="s">
        <v>301</v>
      </c>
      <c r="N111">
        <v>43085</v>
      </c>
      <c r="O111" t="str">
        <f t="shared" si="23"/>
        <v>43085</v>
      </c>
      <c r="P111" t="str">
        <f t="shared" si="16"/>
        <v>4941 Viking Drive, Worthington, OH, 43085</v>
      </c>
      <c r="Q111" t="s">
        <v>818</v>
      </c>
      <c r="R111" t="str">
        <f t="shared" si="24"/>
        <v>ElaineBCunningham</v>
      </c>
      <c r="S111" t="str">
        <f t="shared" si="25"/>
        <v>gmail.com</v>
      </c>
      <c r="T111" t="str">
        <f t="shared" si="26"/>
        <v>gmail</v>
      </c>
      <c r="U111" t="str">
        <f t="shared" si="27"/>
        <v>ElaineBCunningham</v>
      </c>
      <c r="V111" t="s">
        <v>819</v>
      </c>
      <c r="W111" t="str">
        <f t="shared" si="28"/>
        <v>740-</v>
      </c>
      <c r="X111" t="str">
        <f t="shared" si="29"/>
        <v>721</v>
      </c>
      <c r="Y111" t="str">
        <f t="shared" si="30"/>
        <v>-7555</v>
      </c>
      <c r="Z111" t="str">
        <f>SUBSTITUTE(V111,"-","|",2)</f>
        <v>740-721|7555</v>
      </c>
      <c r="AA111" t="str">
        <f>LEFT(V111,3)</f>
        <v>740</v>
      </c>
      <c r="AB111" t="str">
        <f>MID(V111,5,3)</f>
        <v>721</v>
      </c>
      <c r="AC111" t="str">
        <f>RIGHT(V111,4)</f>
        <v>7555</v>
      </c>
      <c r="AD111" s="3" t="s">
        <v>820</v>
      </c>
      <c r="AE111" s="3" t="str">
        <f t="shared" si="31"/>
        <v>618</v>
      </c>
    </row>
    <row r="112" spans="1:31">
      <c r="A112" t="s">
        <v>821</v>
      </c>
      <c r="B112" t="str">
        <f t="shared" si="17"/>
        <v>Charles</v>
      </c>
      <c r="C112" t="s">
        <v>40</v>
      </c>
      <c r="D112" t="s">
        <v>822</v>
      </c>
      <c r="E112" t="str">
        <f t="shared" si="18"/>
        <v>Castro</v>
      </c>
      <c r="F112" t="str">
        <f t="shared" si="19"/>
        <v>CHARLESCASTRO</v>
      </c>
      <c r="G112" t="str">
        <f t="shared" si="20"/>
        <v>CHARLESCASTRO</v>
      </c>
      <c r="H112" t="str">
        <f t="shared" si="21"/>
        <v>CHA CASTRO</v>
      </c>
      <c r="I112" t="str">
        <f t="shared" si="22"/>
        <v>CHA.C</v>
      </c>
      <c r="J112" t="s">
        <v>42</v>
      </c>
      <c r="K112" t="s">
        <v>823</v>
      </c>
      <c r="L112" t="s">
        <v>824</v>
      </c>
      <c r="M112" t="s">
        <v>538</v>
      </c>
      <c r="N112">
        <v>15672</v>
      </c>
      <c r="O112" t="str">
        <f t="shared" si="23"/>
        <v>15672</v>
      </c>
      <c r="P112" t="str">
        <f t="shared" si="16"/>
        <v>2165 Michigan Avenue, New Stanton, PA, 15672</v>
      </c>
      <c r="Q112" t="s">
        <v>825</v>
      </c>
      <c r="R112" t="str">
        <f t="shared" si="24"/>
        <v>CharlesSCastro</v>
      </c>
      <c r="S112" t="str">
        <f t="shared" si="25"/>
        <v>gmail.com</v>
      </c>
      <c r="T112" t="str">
        <f t="shared" si="26"/>
        <v>gmail</v>
      </c>
      <c r="U112" t="str">
        <f t="shared" si="27"/>
        <v>CharlesSCastro</v>
      </c>
      <c r="V112" t="s">
        <v>826</v>
      </c>
      <c r="W112" t="str">
        <f t="shared" si="28"/>
        <v>724-</v>
      </c>
      <c r="X112" t="str">
        <f t="shared" si="29"/>
        <v>696</v>
      </c>
      <c r="Y112" t="str">
        <f t="shared" si="30"/>
        <v>-9820</v>
      </c>
      <c r="Z112" t="str">
        <f>SUBSTITUTE(V112,"-","|",2)</f>
        <v>724-696|9820</v>
      </c>
      <c r="AA112" t="str">
        <f>LEFT(V112,3)</f>
        <v>724</v>
      </c>
      <c r="AB112" t="str">
        <f>MID(V112,5,3)</f>
        <v>696</v>
      </c>
      <c r="AC112" t="str">
        <f>RIGHT(V112,4)</f>
        <v>9820</v>
      </c>
      <c r="AD112" s="3" t="s">
        <v>827</v>
      </c>
      <c r="AE112" s="3" t="str">
        <f t="shared" si="31"/>
        <v>532</v>
      </c>
    </row>
    <row r="113" spans="1:31">
      <c r="A113" t="s">
        <v>828</v>
      </c>
      <c r="B113" t="str">
        <f t="shared" si="17"/>
        <v>Les</v>
      </c>
      <c r="C113" t="s">
        <v>781</v>
      </c>
      <c r="D113" t="s">
        <v>829</v>
      </c>
      <c r="E113" t="str">
        <f t="shared" si="18"/>
        <v>Lawhon</v>
      </c>
      <c r="F113" t="str">
        <f t="shared" si="19"/>
        <v>LESLAWHON</v>
      </c>
      <c r="G113" t="str">
        <f t="shared" si="20"/>
        <v>LESLAWHON</v>
      </c>
      <c r="H113" t="str">
        <f t="shared" si="21"/>
        <v>LES LAWHON</v>
      </c>
      <c r="I113" t="str">
        <f t="shared" si="22"/>
        <v>LES.L</v>
      </c>
      <c r="J113" t="s">
        <v>42</v>
      </c>
      <c r="K113" t="s">
        <v>830</v>
      </c>
      <c r="L113" t="s">
        <v>804</v>
      </c>
      <c r="M113" t="s">
        <v>104</v>
      </c>
      <c r="N113">
        <v>11612</v>
      </c>
      <c r="O113" t="str">
        <f t="shared" si="23"/>
        <v>11612</v>
      </c>
      <c r="P113" t="str">
        <f t="shared" si="16"/>
        <v>3075 Westwood Avenue, Hicksville, NY, 11612</v>
      </c>
      <c r="Q113" t="s">
        <v>831</v>
      </c>
      <c r="R113" t="str">
        <f t="shared" si="24"/>
        <v>LesNLawhon</v>
      </c>
      <c r="S113" t="str">
        <f t="shared" si="25"/>
        <v>hotmail.com</v>
      </c>
      <c r="T113" t="str">
        <f t="shared" si="26"/>
        <v>hotmail</v>
      </c>
      <c r="U113" t="str">
        <f t="shared" si="27"/>
        <v>LesNLawhon</v>
      </c>
      <c r="V113" t="s">
        <v>832</v>
      </c>
      <c r="W113" t="str">
        <f t="shared" si="28"/>
        <v>516-</v>
      </c>
      <c r="X113" t="str">
        <f t="shared" si="29"/>
        <v>802</v>
      </c>
      <c r="Y113" t="str">
        <f t="shared" si="30"/>
        <v>-1216</v>
      </c>
      <c r="Z113" t="str">
        <f>SUBSTITUTE(V113,"-","|",2)</f>
        <v>516-802|1216</v>
      </c>
      <c r="AA113" t="str">
        <f>LEFT(V113,3)</f>
        <v>516</v>
      </c>
      <c r="AB113" t="str">
        <f>MID(V113,5,3)</f>
        <v>802</v>
      </c>
      <c r="AC113" t="str">
        <f>RIGHT(V113,4)</f>
        <v>1216</v>
      </c>
      <c r="AD113" s="3" t="s">
        <v>833</v>
      </c>
      <c r="AE113" s="3" t="str">
        <f t="shared" si="31"/>
        <v>827</v>
      </c>
    </row>
    <row r="114" spans="1:31">
      <c r="A114" t="s">
        <v>834</v>
      </c>
      <c r="B114" t="str">
        <f t="shared" si="17"/>
        <v>Ronald</v>
      </c>
      <c r="C114" t="s">
        <v>141</v>
      </c>
      <c r="D114" t="s">
        <v>835</v>
      </c>
      <c r="E114" t="str">
        <f t="shared" si="18"/>
        <v>Gordon</v>
      </c>
      <c r="F114" t="str">
        <f t="shared" si="19"/>
        <v>RONALDGORDON</v>
      </c>
      <c r="G114" t="str">
        <f t="shared" si="20"/>
        <v>RONALDGORDON</v>
      </c>
      <c r="H114" t="str">
        <f t="shared" si="21"/>
        <v>RON GORDON</v>
      </c>
      <c r="I114" t="str">
        <f t="shared" si="22"/>
        <v>RON.G</v>
      </c>
      <c r="J114" t="s">
        <v>42</v>
      </c>
      <c r="K114" t="s">
        <v>836</v>
      </c>
      <c r="L114" t="s">
        <v>837</v>
      </c>
      <c r="M114" t="s">
        <v>838</v>
      </c>
      <c r="N114">
        <v>55402</v>
      </c>
      <c r="O114" t="str">
        <f t="shared" si="23"/>
        <v>55402</v>
      </c>
      <c r="P114" t="str">
        <f t="shared" si="16"/>
        <v>4048 Courtright Street, Minneapolis, ND, 55402</v>
      </c>
      <c r="Q114" t="s">
        <v>839</v>
      </c>
      <c r="R114" t="str">
        <f t="shared" si="24"/>
        <v>RonaldEGordon</v>
      </c>
      <c r="S114" t="str">
        <f t="shared" si="25"/>
        <v>gmail.com</v>
      </c>
      <c r="T114" t="str">
        <f t="shared" si="26"/>
        <v>gmail</v>
      </c>
      <c r="U114" t="str">
        <f t="shared" si="27"/>
        <v>RonaldEGordon</v>
      </c>
      <c r="V114" t="s">
        <v>840</v>
      </c>
      <c r="W114" t="str">
        <f t="shared" si="28"/>
        <v>701-</v>
      </c>
      <c r="X114" t="str">
        <f t="shared" si="29"/>
        <v>555</v>
      </c>
      <c r="Y114" t="str">
        <f t="shared" si="30"/>
        <v>-3444</v>
      </c>
      <c r="Z114" t="str">
        <f>SUBSTITUTE(V114,"-","|",2)</f>
        <v>701-555|3444</v>
      </c>
      <c r="AA114" t="str">
        <f>LEFT(V114,3)</f>
        <v>701</v>
      </c>
      <c r="AB114" t="str">
        <f>MID(V114,5,3)</f>
        <v>555</v>
      </c>
      <c r="AC114" t="str">
        <f>RIGHT(V114,4)</f>
        <v>3444</v>
      </c>
      <c r="AD114" s="3" t="s">
        <v>841</v>
      </c>
      <c r="AE114" s="3" t="str">
        <f t="shared" si="31"/>
        <v>2475</v>
      </c>
    </row>
    <row r="115" spans="1:31">
      <c r="A115" t="s">
        <v>842</v>
      </c>
      <c r="B115" t="str">
        <f t="shared" si="17"/>
        <v>Kenneth</v>
      </c>
      <c r="C115" t="s">
        <v>843</v>
      </c>
      <c r="D115" t="s">
        <v>662</v>
      </c>
      <c r="E115" t="str">
        <f t="shared" si="18"/>
        <v>Harris</v>
      </c>
      <c r="F115" t="str">
        <f t="shared" si="19"/>
        <v>KENNETHHARRIS</v>
      </c>
      <c r="G115" t="str">
        <f t="shared" si="20"/>
        <v>KENNETHHARRIS</v>
      </c>
      <c r="H115" t="str">
        <f t="shared" si="21"/>
        <v>KEN HARRIS</v>
      </c>
      <c r="I115" t="str">
        <f t="shared" si="22"/>
        <v>KEN.H</v>
      </c>
      <c r="J115" t="s">
        <v>42</v>
      </c>
      <c r="K115" t="s">
        <v>844</v>
      </c>
      <c r="L115" t="s">
        <v>185</v>
      </c>
      <c r="M115" t="s">
        <v>35</v>
      </c>
      <c r="N115">
        <v>60605</v>
      </c>
      <c r="O115" t="str">
        <f t="shared" si="23"/>
        <v>60605</v>
      </c>
      <c r="P115" t="str">
        <f t="shared" si="16"/>
        <v>1634 Patterson Fork Road, Chicago, IL, 60605</v>
      </c>
      <c r="Q115" t="s">
        <v>845</v>
      </c>
      <c r="R115" t="str">
        <f t="shared" si="24"/>
        <v>KennethIHarris</v>
      </c>
      <c r="S115" t="str">
        <f t="shared" si="25"/>
        <v>hotmail.com</v>
      </c>
      <c r="T115" t="str">
        <f t="shared" si="26"/>
        <v>hotmail</v>
      </c>
      <c r="U115" t="str">
        <f t="shared" si="27"/>
        <v>KennethIHarris</v>
      </c>
      <c r="V115" t="s">
        <v>846</v>
      </c>
      <c r="W115" t="str">
        <f t="shared" si="28"/>
        <v>312-</v>
      </c>
      <c r="X115" t="str">
        <f t="shared" si="29"/>
        <v>675</v>
      </c>
      <c r="Y115" t="str">
        <f t="shared" si="30"/>
        <v>-4767</v>
      </c>
      <c r="Z115" t="str">
        <f>SUBSTITUTE(V115,"-","|",2)</f>
        <v>312-675|4767</v>
      </c>
      <c r="AA115" t="str">
        <f>LEFT(V115,3)</f>
        <v>312</v>
      </c>
      <c r="AB115" t="str">
        <f>MID(V115,5,3)</f>
        <v>675</v>
      </c>
      <c r="AC115" t="str">
        <f>RIGHT(V115,4)</f>
        <v>4767</v>
      </c>
      <c r="AD115" s="3" t="s">
        <v>847</v>
      </c>
      <c r="AE115" s="3" t="str">
        <f t="shared" si="31"/>
        <v>905</v>
      </c>
    </row>
    <row r="116" spans="1:31">
      <c r="A116" t="s">
        <v>848</v>
      </c>
      <c r="B116" t="str">
        <f t="shared" si="17"/>
        <v>Nicole</v>
      </c>
      <c r="C116" t="s">
        <v>166</v>
      </c>
      <c r="D116" t="s">
        <v>849</v>
      </c>
      <c r="E116" t="str">
        <f t="shared" si="18"/>
        <v>Perez</v>
      </c>
      <c r="F116" t="str">
        <f t="shared" si="19"/>
        <v>NICOLEPEREZ</v>
      </c>
      <c r="G116" t="str">
        <f t="shared" si="20"/>
        <v>NICOLEPEREZ</v>
      </c>
      <c r="H116" t="str">
        <f t="shared" si="21"/>
        <v>NIC PEREZ</v>
      </c>
      <c r="I116" t="str">
        <f t="shared" si="22"/>
        <v>NIC.P</v>
      </c>
      <c r="J116" t="s">
        <v>32</v>
      </c>
      <c r="K116" t="s">
        <v>850</v>
      </c>
      <c r="L116" t="s">
        <v>851</v>
      </c>
      <c r="M116" t="s">
        <v>88</v>
      </c>
      <c r="N116">
        <v>78205</v>
      </c>
      <c r="O116" t="str">
        <f t="shared" si="23"/>
        <v>78205</v>
      </c>
      <c r="P116" t="str">
        <f t="shared" si="16"/>
        <v>3673 Weekley Street, San Antonio, TX, 78205</v>
      </c>
      <c r="Q116" t="s">
        <v>852</v>
      </c>
      <c r="R116" t="str">
        <f t="shared" si="24"/>
        <v>NicoleBPerez</v>
      </c>
      <c r="S116" t="str">
        <f t="shared" si="25"/>
        <v>aol.com</v>
      </c>
      <c r="T116" t="str">
        <f t="shared" si="26"/>
        <v>aol</v>
      </c>
      <c r="U116" t="str">
        <f t="shared" si="27"/>
        <v>NicoleBPerez</v>
      </c>
      <c r="V116" t="s">
        <v>853</v>
      </c>
      <c r="W116" t="str">
        <f t="shared" si="28"/>
        <v>210-</v>
      </c>
      <c r="X116" t="str">
        <f t="shared" si="29"/>
        <v>332</v>
      </c>
      <c r="Y116" t="str">
        <f t="shared" si="30"/>
        <v>-7713</v>
      </c>
      <c r="Z116" t="str">
        <f>SUBSTITUTE(V116,"-","|",2)</f>
        <v>210-332|7713</v>
      </c>
      <c r="AA116" t="str">
        <f>LEFT(V116,3)</f>
        <v>210</v>
      </c>
      <c r="AB116" t="str">
        <f>MID(V116,5,3)</f>
        <v>332</v>
      </c>
      <c r="AC116" t="str">
        <f>RIGHT(V116,4)</f>
        <v>7713</v>
      </c>
      <c r="AD116" s="3" t="s">
        <v>854</v>
      </c>
      <c r="AE116" s="3" t="str">
        <f t="shared" si="31"/>
        <v>2864</v>
      </c>
    </row>
    <row r="117" spans="1:31">
      <c r="A117" t="s">
        <v>855</v>
      </c>
      <c r="B117" t="str">
        <f t="shared" si="17"/>
        <v>Michelle</v>
      </c>
      <c r="C117" t="s">
        <v>182</v>
      </c>
      <c r="D117" t="s">
        <v>856</v>
      </c>
      <c r="E117" t="str">
        <f t="shared" si="18"/>
        <v>Keown</v>
      </c>
      <c r="F117" t="str">
        <f t="shared" si="19"/>
        <v>MICHELLEKEOWN</v>
      </c>
      <c r="G117" t="str">
        <f t="shared" si="20"/>
        <v>MICHELLEKEOWN</v>
      </c>
      <c r="H117" t="str">
        <f t="shared" si="21"/>
        <v>MIC KEOWN</v>
      </c>
      <c r="I117" t="str">
        <f t="shared" si="22"/>
        <v>MIC.K</v>
      </c>
      <c r="J117" t="s">
        <v>32</v>
      </c>
      <c r="K117" t="s">
        <v>857</v>
      </c>
      <c r="L117" t="s">
        <v>858</v>
      </c>
      <c r="M117" t="s">
        <v>538</v>
      </c>
      <c r="N117">
        <v>19146</v>
      </c>
      <c r="O117" t="str">
        <f t="shared" si="23"/>
        <v>19146</v>
      </c>
      <c r="P117" t="str">
        <f t="shared" si="16"/>
        <v>1993 Tipple Road, Philadelphia, PA, 19146</v>
      </c>
      <c r="Q117" t="s">
        <v>859</v>
      </c>
      <c r="R117" t="str">
        <f t="shared" si="24"/>
        <v>MichelleCKeown</v>
      </c>
      <c r="S117" t="str">
        <f t="shared" si="25"/>
        <v>gmail.com</v>
      </c>
      <c r="T117" t="str">
        <f t="shared" si="26"/>
        <v>gmail</v>
      </c>
      <c r="U117" t="str">
        <f t="shared" si="27"/>
        <v>MichelleCKeown</v>
      </c>
      <c r="V117" t="s">
        <v>860</v>
      </c>
      <c r="W117" t="str">
        <f t="shared" si="28"/>
        <v>215-</v>
      </c>
      <c r="X117" t="str">
        <f t="shared" si="29"/>
        <v>790</v>
      </c>
      <c r="Y117" t="str">
        <f t="shared" si="30"/>
        <v>-4399</v>
      </c>
      <c r="Z117" t="str">
        <f>SUBSTITUTE(V117,"-","|",2)</f>
        <v>215-790|4399</v>
      </c>
      <c r="AA117" t="str">
        <f>LEFT(V117,3)</f>
        <v>215</v>
      </c>
      <c r="AB117" t="str">
        <f>MID(V117,5,3)</f>
        <v>790</v>
      </c>
      <c r="AC117" t="str">
        <f>RIGHT(V117,4)</f>
        <v>4399</v>
      </c>
      <c r="AD117" s="3" t="s">
        <v>861</v>
      </c>
      <c r="AE117" s="3" t="str">
        <f t="shared" si="31"/>
        <v>5193</v>
      </c>
    </row>
    <row r="118" spans="1:31">
      <c r="A118" t="s">
        <v>148</v>
      </c>
      <c r="B118" t="str">
        <f t="shared" si="17"/>
        <v>Sue</v>
      </c>
      <c r="C118" t="s">
        <v>30</v>
      </c>
      <c r="D118" t="s">
        <v>862</v>
      </c>
      <c r="E118" t="str">
        <f t="shared" si="18"/>
        <v>Doucette</v>
      </c>
      <c r="F118" t="str">
        <f t="shared" si="19"/>
        <v>SUEDOUCETTE</v>
      </c>
      <c r="G118" t="str">
        <f t="shared" si="20"/>
        <v>SUEDOUCETTE</v>
      </c>
      <c r="H118" t="str">
        <f t="shared" si="21"/>
        <v>SUE DOUCETTE</v>
      </c>
      <c r="I118" t="str">
        <f t="shared" si="22"/>
        <v>SUE.D</v>
      </c>
      <c r="J118" t="s">
        <v>32</v>
      </c>
      <c r="K118" t="s">
        <v>863</v>
      </c>
      <c r="L118" t="s">
        <v>503</v>
      </c>
      <c r="M118" t="s">
        <v>200</v>
      </c>
      <c r="N118">
        <v>33311</v>
      </c>
      <c r="O118" t="str">
        <f t="shared" si="23"/>
        <v>33311</v>
      </c>
      <c r="P118" t="str">
        <f t="shared" si="16"/>
        <v>3416 Tyler Avenue, Ft Lauderdale, FL, 33311</v>
      </c>
      <c r="Q118" t="s">
        <v>864</v>
      </c>
      <c r="R118" t="str">
        <f t="shared" si="24"/>
        <v>SueJDoucette</v>
      </c>
      <c r="S118" t="str">
        <f t="shared" si="25"/>
        <v>hotmail.com</v>
      </c>
      <c r="T118" t="str">
        <f t="shared" si="26"/>
        <v>hotmail</v>
      </c>
      <c r="U118" t="str">
        <f t="shared" si="27"/>
        <v>SueJDoucette</v>
      </c>
      <c r="V118" t="s">
        <v>865</v>
      </c>
      <c r="W118" t="str">
        <f t="shared" si="28"/>
        <v>305-</v>
      </c>
      <c r="X118" t="str">
        <f t="shared" si="29"/>
        <v>308</v>
      </c>
      <c r="Y118" t="str">
        <f t="shared" si="30"/>
        <v>-0272</v>
      </c>
      <c r="Z118" t="str">
        <f>SUBSTITUTE(V118,"-","|",2)</f>
        <v>305-308|0272</v>
      </c>
      <c r="AA118" t="str">
        <f>LEFT(V118,3)</f>
        <v>305</v>
      </c>
      <c r="AB118" t="str">
        <f>MID(V118,5,3)</f>
        <v>308</v>
      </c>
      <c r="AC118" t="str">
        <f>RIGHT(V118,4)</f>
        <v>0272</v>
      </c>
      <c r="AD118" s="3" t="s">
        <v>866</v>
      </c>
      <c r="AE118" s="3" t="str">
        <f t="shared" si="31"/>
        <v>925</v>
      </c>
    </row>
    <row r="119" spans="1:31">
      <c r="A119" t="s">
        <v>867</v>
      </c>
      <c r="B119" t="str">
        <f t="shared" si="17"/>
        <v>Lillian</v>
      </c>
      <c r="C119" t="s">
        <v>30</v>
      </c>
      <c r="D119" t="s">
        <v>868</v>
      </c>
      <c r="E119" t="str">
        <f t="shared" si="18"/>
        <v>Kline</v>
      </c>
      <c r="F119" t="str">
        <f t="shared" si="19"/>
        <v>LILLIANKLINE</v>
      </c>
      <c r="G119" t="str">
        <f t="shared" si="20"/>
        <v>LILLIANKLINE</v>
      </c>
      <c r="H119" t="str">
        <f t="shared" si="21"/>
        <v>LIL KLINE</v>
      </c>
      <c r="I119" t="str">
        <f t="shared" si="22"/>
        <v>LIL.K</v>
      </c>
      <c r="J119" t="s">
        <v>32</v>
      </c>
      <c r="K119" t="s">
        <v>869</v>
      </c>
      <c r="L119" t="s">
        <v>870</v>
      </c>
      <c r="M119" t="s">
        <v>871</v>
      </c>
      <c r="N119">
        <v>98908</v>
      </c>
      <c r="O119" t="str">
        <f t="shared" si="23"/>
        <v>98908</v>
      </c>
      <c r="P119" t="str">
        <f t="shared" si="16"/>
        <v>4188 Sun Valley Road, Yakima, WA, 98908</v>
      </c>
      <c r="Q119" t="s">
        <v>872</v>
      </c>
      <c r="R119" t="str">
        <f t="shared" si="24"/>
        <v>LillianJKline</v>
      </c>
      <c r="S119" t="str">
        <f t="shared" si="25"/>
        <v>hotmail.com</v>
      </c>
      <c r="T119" t="str">
        <f t="shared" si="26"/>
        <v>hotmail</v>
      </c>
      <c r="U119" t="str">
        <f t="shared" si="27"/>
        <v>LillianJKline</v>
      </c>
      <c r="V119" t="s">
        <v>873</v>
      </c>
      <c r="W119" t="str">
        <f t="shared" si="28"/>
        <v>509-</v>
      </c>
      <c r="X119" t="str">
        <f t="shared" si="29"/>
        <v>790</v>
      </c>
      <c r="Y119" t="str">
        <f t="shared" si="30"/>
        <v>-0804</v>
      </c>
      <c r="Z119" t="str">
        <f>SUBSTITUTE(V119,"-","|",2)</f>
        <v>509-790|0804</v>
      </c>
      <c r="AA119" t="str">
        <f>LEFT(V119,3)</f>
        <v>509</v>
      </c>
      <c r="AB119" t="str">
        <f>MID(V119,5,3)</f>
        <v>790</v>
      </c>
      <c r="AC119" t="str">
        <f>RIGHT(V119,4)</f>
        <v>0804</v>
      </c>
      <c r="AD119" s="3" t="s">
        <v>874</v>
      </c>
      <c r="AE119" s="3" t="str">
        <f t="shared" si="31"/>
        <v>431</v>
      </c>
    </row>
    <row r="120" spans="1:31">
      <c r="A120" t="s">
        <v>875</v>
      </c>
      <c r="B120" t="str">
        <f t="shared" si="17"/>
        <v>Linda</v>
      </c>
      <c r="C120" t="s">
        <v>116</v>
      </c>
      <c r="D120" t="s">
        <v>876</v>
      </c>
      <c r="E120" t="str">
        <f t="shared" si="18"/>
        <v>Chasse</v>
      </c>
      <c r="F120" t="str">
        <f t="shared" si="19"/>
        <v>LINDACHASSE</v>
      </c>
      <c r="G120" t="str">
        <f t="shared" si="20"/>
        <v>LINDACHASSE</v>
      </c>
      <c r="H120" t="str">
        <f t="shared" si="21"/>
        <v>LIN CHASSE</v>
      </c>
      <c r="I120" t="str">
        <f t="shared" si="22"/>
        <v>LIN.C</v>
      </c>
      <c r="J120" t="s">
        <v>32</v>
      </c>
      <c r="K120" t="s">
        <v>877</v>
      </c>
      <c r="L120" t="s">
        <v>878</v>
      </c>
      <c r="M120" t="s">
        <v>35</v>
      </c>
      <c r="N120">
        <v>60173</v>
      </c>
      <c r="O120" t="str">
        <f t="shared" si="23"/>
        <v>60173</v>
      </c>
      <c r="P120" t="str">
        <f t="shared" si="16"/>
        <v>4155 Kembery Drive, Schaumburg, IL, 60173</v>
      </c>
      <c r="Q120" t="s">
        <v>879</v>
      </c>
      <c r="R120" t="str">
        <f t="shared" si="24"/>
        <v>LindaHChasse</v>
      </c>
      <c r="S120" t="str">
        <f t="shared" si="25"/>
        <v>aol.com</v>
      </c>
      <c r="T120" t="str">
        <f t="shared" si="26"/>
        <v>aol</v>
      </c>
      <c r="U120" t="str">
        <f t="shared" si="27"/>
        <v>LindaHChasse</v>
      </c>
      <c r="V120" t="s">
        <v>880</v>
      </c>
      <c r="W120" t="str">
        <f t="shared" si="28"/>
        <v>630-</v>
      </c>
      <c r="X120" t="str">
        <f t="shared" si="29"/>
        <v>602</v>
      </c>
      <c r="Y120" t="str">
        <f t="shared" si="30"/>
        <v>-5913</v>
      </c>
      <c r="Z120" t="str">
        <f>SUBSTITUTE(V120,"-","|",2)</f>
        <v>630-602|5913</v>
      </c>
      <c r="AA120" t="str">
        <f>LEFT(V120,3)</f>
        <v>630</v>
      </c>
      <c r="AB120" t="str">
        <f>MID(V120,5,3)</f>
        <v>602</v>
      </c>
      <c r="AC120" t="str">
        <f>RIGHT(V120,4)</f>
        <v>5913</v>
      </c>
      <c r="AD120" s="3" t="s">
        <v>881</v>
      </c>
      <c r="AE120" s="3" t="str">
        <f t="shared" si="31"/>
        <v>3647</v>
      </c>
    </row>
    <row r="121" spans="1:31">
      <c r="A121" t="s">
        <v>882</v>
      </c>
      <c r="B121" t="str">
        <f t="shared" si="17"/>
        <v>Jean</v>
      </c>
      <c r="C121" t="s">
        <v>132</v>
      </c>
      <c r="D121" t="s">
        <v>883</v>
      </c>
      <c r="E121" t="str">
        <f t="shared" si="18"/>
        <v>Garcia</v>
      </c>
      <c r="F121" t="str">
        <f t="shared" si="19"/>
        <v>JEANGARCIA</v>
      </c>
      <c r="G121" t="str">
        <f t="shared" si="20"/>
        <v>JEANGARCIA</v>
      </c>
      <c r="H121" t="str">
        <f t="shared" si="21"/>
        <v>JEA GARCIA</v>
      </c>
      <c r="I121" t="str">
        <f t="shared" si="22"/>
        <v>JEA.G</v>
      </c>
      <c r="J121" t="s">
        <v>32</v>
      </c>
      <c r="K121" t="s">
        <v>884</v>
      </c>
      <c r="L121" t="s">
        <v>399</v>
      </c>
      <c r="M121" t="s">
        <v>265</v>
      </c>
      <c r="N121">
        <v>2138</v>
      </c>
      <c r="O121" t="str">
        <f t="shared" si="23"/>
        <v>02138</v>
      </c>
      <c r="P121" t="str">
        <f t="shared" si="16"/>
        <v>4646 Lynn Street, Cambridge, MA, 2138</v>
      </c>
      <c r="Q121" t="s">
        <v>885</v>
      </c>
      <c r="R121" t="str">
        <f t="shared" si="24"/>
        <v>JeanRGarcia</v>
      </c>
      <c r="S121" t="str">
        <f t="shared" si="25"/>
        <v>hotmail.com</v>
      </c>
      <c r="T121" t="str">
        <f t="shared" si="26"/>
        <v>hotmail</v>
      </c>
      <c r="U121" t="str">
        <f t="shared" si="27"/>
        <v>JeanRGarcia</v>
      </c>
      <c r="V121" t="s">
        <v>886</v>
      </c>
      <c r="W121" t="str">
        <f t="shared" si="28"/>
        <v>617-</v>
      </c>
      <c r="X121" t="str">
        <f t="shared" si="29"/>
        <v>226</v>
      </c>
      <c r="Y121" t="str">
        <f t="shared" si="30"/>
        <v>-8333</v>
      </c>
      <c r="Z121" t="str">
        <f>SUBSTITUTE(V121,"-","|",2)</f>
        <v>617-226|8333</v>
      </c>
      <c r="AA121" t="str">
        <f>LEFT(V121,3)</f>
        <v>617</v>
      </c>
      <c r="AB121" t="str">
        <f>MID(V121,5,3)</f>
        <v>226</v>
      </c>
      <c r="AC121" t="str">
        <f>RIGHT(V121,4)</f>
        <v>8333</v>
      </c>
      <c r="AD121" s="3" t="s">
        <v>887</v>
      </c>
      <c r="AE121" s="3" t="str">
        <f t="shared" si="31"/>
        <v>8139</v>
      </c>
    </row>
    <row r="122" spans="1:31">
      <c r="A122" t="s">
        <v>888</v>
      </c>
      <c r="B122" t="str">
        <f t="shared" si="17"/>
        <v>Sean</v>
      </c>
      <c r="C122" t="s">
        <v>182</v>
      </c>
      <c r="D122" t="s">
        <v>889</v>
      </c>
      <c r="E122" t="str">
        <f t="shared" si="18"/>
        <v>Baltes</v>
      </c>
      <c r="F122" t="str">
        <f t="shared" si="19"/>
        <v>SEANBALTES</v>
      </c>
      <c r="G122" t="str">
        <f t="shared" si="20"/>
        <v>SEANBALTES</v>
      </c>
      <c r="H122" t="str">
        <f t="shared" si="21"/>
        <v>SEA BALTES</v>
      </c>
      <c r="I122" t="str">
        <f t="shared" si="22"/>
        <v>SEA.B</v>
      </c>
      <c r="J122" t="s">
        <v>42</v>
      </c>
      <c r="K122" t="s">
        <v>890</v>
      </c>
      <c r="L122" t="s">
        <v>664</v>
      </c>
      <c r="M122" t="s">
        <v>413</v>
      </c>
      <c r="N122">
        <v>21202</v>
      </c>
      <c r="O122" t="str">
        <f t="shared" si="23"/>
        <v>21202</v>
      </c>
      <c r="P122" t="str">
        <f t="shared" si="16"/>
        <v>2545 Calvin Street, Baltimore, MD, 21202</v>
      </c>
      <c r="Q122" t="s">
        <v>891</v>
      </c>
      <c r="R122" t="str">
        <f t="shared" si="24"/>
        <v>SeanCBaltes</v>
      </c>
      <c r="S122" t="str">
        <f t="shared" si="25"/>
        <v>aol.com</v>
      </c>
      <c r="T122" t="str">
        <f t="shared" si="26"/>
        <v>aol</v>
      </c>
      <c r="U122" t="str">
        <f t="shared" si="27"/>
        <v>SeanCBaltes</v>
      </c>
      <c r="V122" t="s">
        <v>892</v>
      </c>
      <c r="W122" t="str">
        <f t="shared" si="28"/>
        <v>443-</v>
      </c>
      <c r="X122" t="str">
        <f t="shared" si="29"/>
        <v>425</v>
      </c>
      <c r="Y122" t="str">
        <f t="shared" si="30"/>
        <v>-0071</v>
      </c>
      <c r="Z122" t="str">
        <f>SUBSTITUTE(V122,"-","|",2)</f>
        <v>443-425|0071</v>
      </c>
      <c r="AA122" t="str">
        <f>LEFT(V122,3)</f>
        <v>443</v>
      </c>
      <c r="AB122" t="str">
        <f>MID(V122,5,3)</f>
        <v>425</v>
      </c>
      <c r="AC122" t="str">
        <f>RIGHT(V122,4)</f>
        <v>0071</v>
      </c>
      <c r="AD122" s="3" t="s">
        <v>893</v>
      </c>
      <c r="AE122" s="3" t="str">
        <f t="shared" si="31"/>
        <v>4734</v>
      </c>
    </row>
    <row r="123" spans="1:31">
      <c r="A123" t="s">
        <v>894</v>
      </c>
      <c r="B123" t="str">
        <f t="shared" si="17"/>
        <v>Benjamin</v>
      </c>
      <c r="C123" t="s">
        <v>132</v>
      </c>
      <c r="D123" t="s">
        <v>391</v>
      </c>
      <c r="E123" t="str">
        <f t="shared" si="18"/>
        <v>Castaneda</v>
      </c>
      <c r="F123" t="str">
        <f t="shared" si="19"/>
        <v>BENJAMINCASTANEDA</v>
      </c>
      <c r="G123" t="str">
        <f t="shared" si="20"/>
        <v>BENJAMINCASTANEDA</v>
      </c>
      <c r="H123" t="str">
        <f t="shared" si="21"/>
        <v>BEN CASTANEDA</v>
      </c>
      <c r="I123" t="str">
        <f t="shared" si="22"/>
        <v>BEN.C</v>
      </c>
      <c r="J123" t="s">
        <v>42</v>
      </c>
      <c r="K123" t="s">
        <v>895</v>
      </c>
      <c r="L123" t="s">
        <v>896</v>
      </c>
      <c r="M123" t="s">
        <v>897</v>
      </c>
      <c r="N123">
        <v>66202</v>
      </c>
      <c r="O123" t="str">
        <f t="shared" si="23"/>
        <v>66202</v>
      </c>
      <c r="P123" t="str">
        <f t="shared" si="16"/>
        <v>725 Poe Lane, Mission, KS, 66202</v>
      </c>
      <c r="Q123" t="s">
        <v>898</v>
      </c>
      <c r="R123" t="str">
        <f t="shared" si="24"/>
        <v>BenjaminRCastaneda</v>
      </c>
      <c r="S123" t="str">
        <f t="shared" si="25"/>
        <v>aol.com</v>
      </c>
      <c r="T123" t="str">
        <f t="shared" si="26"/>
        <v>aol</v>
      </c>
      <c r="U123" t="str">
        <f t="shared" si="27"/>
        <v>BenjaminRCastaneda</v>
      </c>
      <c r="V123" t="s">
        <v>899</v>
      </c>
      <c r="W123" t="str">
        <f t="shared" si="28"/>
        <v>913-</v>
      </c>
      <c r="X123" t="str">
        <f t="shared" si="29"/>
        <v>424</v>
      </c>
      <c r="Y123" t="str">
        <f t="shared" si="30"/>
        <v>-4228</v>
      </c>
      <c r="Z123" t="str">
        <f>SUBSTITUTE(V123,"-","|",2)</f>
        <v>913-424|4228</v>
      </c>
      <c r="AA123" t="str">
        <f>LEFT(V123,3)</f>
        <v>913</v>
      </c>
      <c r="AB123" t="str">
        <f>MID(V123,5,3)</f>
        <v>424</v>
      </c>
      <c r="AC123" t="str">
        <f>RIGHT(V123,4)</f>
        <v>4228</v>
      </c>
      <c r="AD123" s="3" t="s">
        <v>900</v>
      </c>
      <c r="AE123" s="3" t="str">
        <f t="shared" si="31"/>
        <v>9381</v>
      </c>
    </row>
    <row r="124" spans="1:31">
      <c r="A124" t="s">
        <v>901</v>
      </c>
      <c r="B124" t="str">
        <f t="shared" si="17"/>
        <v>Jerry</v>
      </c>
      <c r="C124" t="s">
        <v>58</v>
      </c>
      <c r="D124" t="s">
        <v>902</v>
      </c>
      <c r="E124" t="str">
        <f t="shared" si="18"/>
        <v>Mills</v>
      </c>
      <c r="F124" t="str">
        <f t="shared" si="19"/>
        <v>JERRYMILLS</v>
      </c>
      <c r="G124" t="str">
        <f t="shared" si="20"/>
        <v>JERRYMILLS</v>
      </c>
      <c r="H124" t="str">
        <f t="shared" si="21"/>
        <v>JER MILLS</v>
      </c>
      <c r="I124" t="str">
        <f t="shared" si="22"/>
        <v>JER.M</v>
      </c>
      <c r="J124" t="s">
        <v>42</v>
      </c>
      <c r="K124" t="s">
        <v>903</v>
      </c>
      <c r="L124" t="s">
        <v>904</v>
      </c>
      <c r="M124" t="s">
        <v>482</v>
      </c>
      <c r="N124">
        <v>73622</v>
      </c>
      <c r="O124" t="str">
        <f t="shared" si="23"/>
        <v>73622</v>
      </c>
      <c r="P124" t="str">
        <f t="shared" si="16"/>
        <v>1083 Grove Avenue, Bessie, OK, 73622</v>
      </c>
      <c r="Q124" t="s">
        <v>905</v>
      </c>
      <c r="R124" t="str">
        <f t="shared" si="24"/>
        <v>JerryMMills</v>
      </c>
      <c r="S124" t="str">
        <f t="shared" si="25"/>
        <v>gmail.com</v>
      </c>
      <c r="T124" t="str">
        <f t="shared" si="26"/>
        <v>gmail</v>
      </c>
      <c r="U124" t="str">
        <f t="shared" si="27"/>
        <v>JerryMMills</v>
      </c>
      <c r="V124" t="s">
        <v>906</v>
      </c>
      <c r="W124" t="str">
        <f t="shared" si="28"/>
        <v>580-</v>
      </c>
      <c r="X124" t="str">
        <f t="shared" si="29"/>
        <v>373</v>
      </c>
      <c r="Y124" t="str">
        <f t="shared" si="30"/>
        <v>-5226</v>
      </c>
      <c r="Z124" t="str">
        <f>SUBSTITUTE(V124,"-","|",2)</f>
        <v>580-373|5226</v>
      </c>
      <c r="AA124" t="str">
        <f>LEFT(V124,3)</f>
        <v>580</v>
      </c>
      <c r="AB124" t="str">
        <f>MID(V124,5,3)</f>
        <v>373</v>
      </c>
      <c r="AC124" t="str">
        <f>RIGHT(V124,4)</f>
        <v>5226</v>
      </c>
      <c r="AD124" s="3" t="s">
        <v>907</v>
      </c>
      <c r="AE124" s="3" t="str">
        <f t="shared" si="31"/>
        <v>523</v>
      </c>
    </row>
    <row r="125" spans="1:31">
      <c r="A125" t="s">
        <v>908</v>
      </c>
      <c r="B125" t="str">
        <f t="shared" si="17"/>
        <v>Douglas</v>
      </c>
      <c r="C125" t="s">
        <v>58</v>
      </c>
      <c r="D125" t="s">
        <v>909</v>
      </c>
      <c r="E125" t="str">
        <f t="shared" si="18"/>
        <v>Wright</v>
      </c>
      <c r="F125" t="str">
        <f t="shared" si="19"/>
        <v>DOUGLASWRIGHT</v>
      </c>
      <c r="G125" t="str">
        <f t="shared" si="20"/>
        <v>DOUGLASWRIGHT</v>
      </c>
      <c r="H125" t="str">
        <f t="shared" si="21"/>
        <v>DOU WRIGHT</v>
      </c>
      <c r="I125" t="str">
        <f t="shared" si="22"/>
        <v>DOU.W</v>
      </c>
      <c r="J125" t="s">
        <v>42</v>
      </c>
      <c r="K125" t="s">
        <v>910</v>
      </c>
      <c r="L125" t="s">
        <v>911</v>
      </c>
      <c r="M125" t="s">
        <v>413</v>
      </c>
      <c r="N125">
        <v>20772</v>
      </c>
      <c r="O125" t="str">
        <f t="shared" si="23"/>
        <v>20772</v>
      </c>
      <c r="P125" t="str">
        <f t="shared" si="16"/>
        <v>210 Adams Avenue, Upper Marlboro, MD, 20772</v>
      </c>
      <c r="Q125" t="s">
        <v>912</v>
      </c>
      <c r="R125" t="str">
        <f t="shared" si="24"/>
        <v>DouglasMWright</v>
      </c>
      <c r="S125" t="str">
        <f t="shared" si="25"/>
        <v>hotmail.com</v>
      </c>
      <c r="T125" t="str">
        <f t="shared" si="26"/>
        <v>hotmail</v>
      </c>
      <c r="U125" t="str">
        <f t="shared" si="27"/>
        <v>DouglasMWright</v>
      </c>
      <c r="V125" t="s">
        <v>913</v>
      </c>
      <c r="W125" t="str">
        <f t="shared" si="28"/>
        <v>301-</v>
      </c>
      <c r="X125" t="str">
        <f t="shared" si="29"/>
        <v>627</v>
      </c>
      <c r="Y125" t="str">
        <f t="shared" si="30"/>
        <v>-9555</v>
      </c>
      <c r="Z125" t="str">
        <f>SUBSTITUTE(V125,"-","|",2)</f>
        <v>301-627|9555</v>
      </c>
      <c r="AA125" t="str">
        <f>LEFT(V125,3)</f>
        <v>301</v>
      </c>
      <c r="AB125" t="str">
        <f>MID(V125,5,3)</f>
        <v>627</v>
      </c>
      <c r="AC125" t="str">
        <f>RIGHT(V125,4)</f>
        <v>9555</v>
      </c>
      <c r="AD125" s="3" t="s">
        <v>914</v>
      </c>
      <c r="AE125" s="3" t="str">
        <f t="shared" si="31"/>
        <v>6416</v>
      </c>
    </row>
    <row r="126" spans="1:31">
      <c r="A126" t="s">
        <v>915</v>
      </c>
      <c r="B126" t="str">
        <f t="shared" si="17"/>
        <v>Christopher</v>
      </c>
      <c r="C126" t="s">
        <v>166</v>
      </c>
      <c r="D126" t="s">
        <v>916</v>
      </c>
      <c r="E126" t="str">
        <f t="shared" si="18"/>
        <v>Lane</v>
      </c>
      <c r="F126" t="str">
        <f t="shared" si="19"/>
        <v>CHRISTOPHERLANE</v>
      </c>
      <c r="G126" t="str">
        <f t="shared" si="20"/>
        <v>CHRISTOPHERLANE</v>
      </c>
      <c r="H126" t="str">
        <f t="shared" si="21"/>
        <v>CHR LANE</v>
      </c>
      <c r="I126" t="str">
        <f t="shared" si="22"/>
        <v>CHR.L</v>
      </c>
      <c r="J126" t="s">
        <v>42</v>
      </c>
      <c r="K126" t="s">
        <v>917</v>
      </c>
      <c r="L126" t="s">
        <v>918</v>
      </c>
      <c r="M126" t="s">
        <v>919</v>
      </c>
      <c r="N126">
        <v>4958</v>
      </c>
      <c r="O126" t="str">
        <f t="shared" si="23"/>
        <v>04958</v>
      </c>
      <c r="P126" t="str">
        <f t="shared" si="16"/>
        <v>2191 Bloomfield Way, Embden Lake, ME, 4958</v>
      </c>
      <c r="Q126" t="s">
        <v>920</v>
      </c>
      <c r="R126" t="str">
        <f t="shared" si="24"/>
        <v>ChristopherBLane</v>
      </c>
      <c r="S126" t="str">
        <f t="shared" si="25"/>
        <v>aol.com</v>
      </c>
      <c r="T126" t="str">
        <f t="shared" si="26"/>
        <v>aol</v>
      </c>
      <c r="U126" t="str">
        <f t="shared" si="27"/>
        <v>ChristopherBLane</v>
      </c>
      <c r="V126" t="s">
        <v>921</v>
      </c>
      <c r="W126" t="str">
        <f t="shared" si="28"/>
        <v>207-</v>
      </c>
      <c r="X126" t="str">
        <f t="shared" si="29"/>
        <v>566</v>
      </c>
      <c r="Y126" t="str">
        <f t="shared" si="30"/>
        <v>-8114</v>
      </c>
      <c r="Z126" t="str">
        <f>SUBSTITUTE(V126,"-","|",2)</f>
        <v>207-566|8114</v>
      </c>
      <c r="AA126" t="str">
        <f>LEFT(V126,3)</f>
        <v>207</v>
      </c>
      <c r="AB126" t="str">
        <f>MID(V126,5,3)</f>
        <v>566</v>
      </c>
      <c r="AC126" t="str">
        <f>RIGHT(V126,4)</f>
        <v>8114</v>
      </c>
      <c r="AD126" s="3" t="s">
        <v>922</v>
      </c>
      <c r="AE126" s="3" t="str">
        <f t="shared" si="31"/>
        <v>132</v>
      </c>
    </row>
    <row r="127" spans="1:31">
      <c r="A127" t="s">
        <v>923</v>
      </c>
      <c r="B127" t="str">
        <f t="shared" si="17"/>
        <v>Monte</v>
      </c>
      <c r="C127" t="s">
        <v>84</v>
      </c>
      <c r="D127" t="s">
        <v>924</v>
      </c>
      <c r="E127" t="str">
        <f t="shared" si="18"/>
        <v>Mellott</v>
      </c>
      <c r="F127" t="str">
        <f t="shared" si="19"/>
        <v>MONTEMELLOTT</v>
      </c>
      <c r="G127" t="str">
        <f t="shared" si="20"/>
        <v>MONTEMELLOTT</v>
      </c>
      <c r="H127" t="str">
        <f t="shared" si="21"/>
        <v>MON MELLOTT</v>
      </c>
      <c r="I127" t="str">
        <f t="shared" si="22"/>
        <v>MON.M</v>
      </c>
      <c r="J127" t="s">
        <v>42</v>
      </c>
      <c r="K127" t="s">
        <v>925</v>
      </c>
      <c r="L127" t="s">
        <v>926</v>
      </c>
      <c r="M127" t="s">
        <v>88</v>
      </c>
      <c r="N127">
        <v>76854</v>
      </c>
      <c r="O127" t="str">
        <f t="shared" si="23"/>
        <v>76854</v>
      </c>
      <c r="P127" t="str">
        <f t="shared" si="16"/>
        <v>1756 Seth Street, London, TX, 76854</v>
      </c>
      <c r="Q127" t="s">
        <v>927</v>
      </c>
      <c r="R127" t="str">
        <f t="shared" si="24"/>
        <v>MonteKMellott</v>
      </c>
      <c r="S127" t="str">
        <f t="shared" si="25"/>
        <v>aol.com</v>
      </c>
      <c r="T127" t="str">
        <f t="shared" si="26"/>
        <v>aol</v>
      </c>
      <c r="U127" t="str">
        <f t="shared" si="27"/>
        <v>MonteKMellott</v>
      </c>
      <c r="V127" t="s">
        <v>928</v>
      </c>
      <c r="W127" t="str">
        <f t="shared" si="28"/>
        <v>325-</v>
      </c>
      <c r="X127" t="str">
        <f t="shared" si="29"/>
        <v>475</v>
      </c>
      <c r="Y127" t="str">
        <f t="shared" si="30"/>
        <v>-8182</v>
      </c>
      <c r="Z127" t="str">
        <f>SUBSTITUTE(V127,"-","|",2)</f>
        <v>325-475|8182</v>
      </c>
      <c r="AA127" t="str">
        <f>LEFT(V127,3)</f>
        <v>325</v>
      </c>
      <c r="AB127" t="str">
        <f>MID(V127,5,3)</f>
        <v>475</v>
      </c>
      <c r="AC127" t="str">
        <f>RIGHT(V127,4)</f>
        <v>8182</v>
      </c>
      <c r="AD127" s="3" t="s">
        <v>929</v>
      </c>
      <c r="AE127" s="3" t="str">
        <f t="shared" si="31"/>
        <v>5240</v>
      </c>
    </row>
    <row r="128" spans="1:31">
      <c r="A128" t="s">
        <v>930</v>
      </c>
      <c r="B128" t="str">
        <f t="shared" si="17"/>
        <v>Leighann</v>
      </c>
      <c r="C128" t="s">
        <v>30</v>
      </c>
      <c r="D128" t="s">
        <v>931</v>
      </c>
      <c r="E128" t="str">
        <f t="shared" si="18"/>
        <v>Mccorkle</v>
      </c>
      <c r="F128" t="str">
        <f t="shared" si="19"/>
        <v>LEIGHANNMCCORKLE</v>
      </c>
      <c r="G128" t="str">
        <f t="shared" si="20"/>
        <v>LEIGHANNMCCORKLE</v>
      </c>
      <c r="H128" t="str">
        <f t="shared" si="21"/>
        <v>LEI MCCORKLE</v>
      </c>
      <c r="I128" t="str">
        <f t="shared" si="22"/>
        <v>LEI.M</v>
      </c>
      <c r="J128" t="s">
        <v>32</v>
      </c>
      <c r="K128" t="s">
        <v>932</v>
      </c>
      <c r="L128" t="s">
        <v>933</v>
      </c>
      <c r="M128" t="s">
        <v>45</v>
      </c>
      <c r="N128">
        <v>92705</v>
      </c>
      <c r="O128" t="str">
        <f t="shared" si="23"/>
        <v>92705</v>
      </c>
      <c r="P128" t="str">
        <f t="shared" si="16"/>
        <v>3840 Zimmerman Lane, Santa Ana, CA, 92705</v>
      </c>
      <c r="Q128" t="s">
        <v>934</v>
      </c>
      <c r="R128" t="str">
        <f t="shared" si="24"/>
        <v>LeighannJMcCorkle</v>
      </c>
      <c r="S128" t="str">
        <f t="shared" si="25"/>
        <v>hotmail.com</v>
      </c>
      <c r="T128" t="str">
        <f t="shared" si="26"/>
        <v>hotmail</v>
      </c>
      <c r="U128" t="str">
        <f t="shared" si="27"/>
        <v>LeighannJMcCorkle</v>
      </c>
      <c r="V128" t="s">
        <v>935</v>
      </c>
      <c r="W128" t="str">
        <f t="shared" si="28"/>
        <v>213-</v>
      </c>
      <c r="X128" t="str">
        <f t="shared" si="29"/>
        <v>471</v>
      </c>
      <c r="Y128" t="str">
        <f t="shared" si="30"/>
        <v>-6747</v>
      </c>
      <c r="Z128" t="str">
        <f>SUBSTITUTE(V128,"-","|",2)</f>
        <v>213-471|6747</v>
      </c>
      <c r="AA128" t="str">
        <f>LEFT(V128,3)</f>
        <v>213</v>
      </c>
      <c r="AB128" t="str">
        <f>MID(V128,5,3)</f>
        <v>471</v>
      </c>
      <c r="AC128" t="str">
        <f>RIGHT(V128,4)</f>
        <v>6747</v>
      </c>
      <c r="AD128" s="3" t="s">
        <v>936</v>
      </c>
      <c r="AE128" s="3" t="str">
        <f t="shared" si="31"/>
        <v>254</v>
      </c>
    </row>
    <row r="129" spans="1:31">
      <c r="A129" t="s">
        <v>937</v>
      </c>
      <c r="B129" t="str">
        <f t="shared" si="17"/>
        <v>Lester</v>
      </c>
      <c r="C129" t="s">
        <v>30</v>
      </c>
      <c r="D129" t="s">
        <v>938</v>
      </c>
      <c r="E129" t="str">
        <f t="shared" si="18"/>
        <v>Baer</v>
      </c>
      <c r="F129" t="str">
        <f t="shared" si="19"/>
        <v>LESTERBAER</v>
      </c>
      <c r="G129" t="str">
        <f t="shared" si="20"/>
        <v>LESTERBAER</v>
      </c>
      <c r="H129" t="str">
        <f t="shared" si="21"/>
        <v>LES BAER</v>
      </c>
      <c r="I129" t="str">
        <f t="shared" si="22"/>
        <v>LES.B</v>
      </c>
      <c r="J129" t="s">
        <v>42</v>
      </c>
      <c r="K129" t="s">
        <v>939</v>
      </c>
      <c r="L129" t="s">
        <v>940</v>
      </c>
      <c r="M129" t="s">
        <v>217</v>
      </c>
      <c r="N129">
        <v>84321</v>
      </c>
      <c r="O129" t="str">
        <f t="shared" si="23"/>
        <v>84321</v>
      </c>
      <c r="P129" t="str">
        <f t="shared" si="16"/>
        <v>1239 Lang Avenue, Logan, UT, 84321</v>
      </c>
      <c r="Q129" t="s">
        <v>941</v>
      </c>
      <c r="R129" t="str">
        <f t="shared" si="24"/>
        <v>LesterJBaer</v>
      </c>
      <c r="S129" t="str">
        <f t="shared" si="25"/>
        <v>aol.com</v>
      </c>
      <c r="T129" t="str">
        <f t="shared" si="26"/>
        <v>aol</v>
      </c>
      <c r="U129" t="str">
        <f t="shared" si="27"/>
        <v>LesterJBaer</v>
      </c>
      <c r="V129" t="s">
        <v>942</v>
      </c>
      <c r="W129" t="str">
        <f t="shared" si="28"/>
        <v>435-</v>
      </c>
      <c r="X129" t="str">
        <f t="shared" si="29"/>
        <v>757</v>
      </c>
      <c r="Y129" t="str">
        <f t="shared" si="30"/>
        <v>-3720</v>
      </c>
      <c r="Z129" t="str">
        <f>SUBSTITUTE(V129,"-","|",2)</f>
        <v>435-757|3720</v>
      </c>
      <c r="AA129" t="str">
        <f>LEFT(V129,3)</f>
        <v>435</v>
      </c>
      <c r="AB129" t="str">
        <f>MID(V129,5,3)</f>
        <v>757</v>
      </c>
      <c r="AC129" t="str">
        <f>RIGHT(V129,4)</f>
        <v>3720</v>
      </c>
      <c r="AD129" s="3" t="s">
        <v>943</v>
      </c>
      <c r="AE129" s="3" t="str">
        <f t="shared" si="31"/>
        <v>9569</v>
      </c>
    </row>
    <row r="130" spans="1:31">
      <c r="A130" t="s">
        <v>944</v>
      </c>
      <c r="B130" t="str">
        <f t="shared" si="17"/>
        <v>Shani</v>
      </c>
      <c r="C130" t="s">
        <v>58</v>
      </c>
      <c r="D130" t="s">
        <v>418</v>
      </c>
      <c r="E130" t="str">
        <f t="shared" si="18"/>
        <v>Hamilton</v>
      </c>
      <c r="F130" t="str">
        <f t="shared" si="19"/>
        <v>SHANIHAMILTON</v>
      </c>
      <c r="G130" t="str">
        <f t="shared" si="20"/>
        <v>SHANIHAMILTON</v>
      </c>
      <c r="H130" t="str">
        <f t="shared" si="21"/>
        <v>SHA HAMILTON</v>
      </c>
      <c r="I130" t="str">
        <f t="shared" si="22"/>
        <v>SHA.H</v>
      </c>
      <c r="J130" t="s">
        <v>32</v>
      </c>
      <c r="K130" t="s">
        <v>945</v>
      </c>
      <c r="L130" t="s">
        <v>946</v>
      </c>
      <c r="M130" t="s">
        <v>871</v>
      </c>
      <c r="N130">
        <v>98626</v>
      </c>
      <c r="O130" t="str">
        <f t="shared" si="23"/>
        <v>98626</v>
      </c>
      <c r="P130" t="str">
        <f t="shared" ref="P130:P193" si="32">K130&amp;", "&amp;L130&amp;", "&amp;M130&amp;", "&amp;N130</f>
        <v>4856 Pinnickinick Street, Kelso, WA, 98626</v>
      </c>
      <c r="Q130" t="s">
        <v>947</v>
      </c>
      <c r="R130" t="str">
        <f t="shared" si="24"/>
        <v>ShaniMHamilton</v>
      </c>
      <c r="S130" t="str">
        <f t="shared" si="25"/>
        <v>hotmail.com</v>
      </c>
      <c r="T130" t="str">
        <f t="shared" si="26"/>
        <v>hotmail</v>
      </c>
      <c r="U130" t="str">
        <f t="shared" si="27"/>
        <v>ShaniMHamilton</v>
      </c>
      <c r="V130" t="s">
        <v>948</v>
      </c>
      <c r="W130" t="str">
        <f t="shared" si="28"/>
        <v>360-</v>
      </c>
      <c r="X130" t="str">
        <f t="shared" si="29"/>
        <v>749</v>
      </c>
      <c r="Y130" t="str">
        <f t="shared" si="30"/>
        <v>-8772</v>
      </c>
      <c r="Z130" t="str">
        <f>SUBSTITUTE(V130,"-","|",2)</f>
        <v>360-749|8772</v>
      </c>
      <c r="AA130" t="str">
        <f>LEFT(V130,3)</f>
        <v>360</v>
      </c>
      <c r="AB130" t="str">
        <f>MID(V130,5,3)</f>
        <v>749</v>
      </c>
      <c r="AC130" t="str">
        <f>RIGHT(V130,4)</f>
        <v>8772</v>
      </c>
      <c r="AD130" s="3" t="s">
        <v>949</v>
      </c>
      <c r="AE130" s="3" t="str">
        <f t="shared" si="31"/>
        <v>3666</v>
      </c>
    </row>
    <row r="131" spans="1:31">
      <c r="A131" t="s">
        <v>950</v>
      </c>
      <c r="B131" t="str">
        <f t="shared" ref="B131:B194" si="33">TRIM(PROPER(A131))</f>
        <v>Leroy</v>
      </c>
      <c r="C131" t="s">
        <v>132</v>
      </c>
      <c r="D131" t="s">
        <v>951</v>
      </c>
      <c r="E131" t="str">
        <f t="shared" ref="E131:E194" si="34">TRIM(PROPER(D131))</f>
        <v>Carroll</v>
      </c>
      <c r="F131" t="str">
        <f t="shared" ref="F131:F194" si="35">A131&amp;""&amp;D131</f>
        <v>LEROYCARROLL</v>
      </c>
      <c r="G131" t="str">
        <f t="shared" ref="G131:G194" si="36">CONCATENATE(A131,D131)</f>
        <v>LEROYCARROLL</v>
      </c>
      <c r="H131" t="str">
        <f t="shared" ref="H131:H194" si="37">LEFT(A131,3)&amp;" "&amp;D131</f>
        <v>LER CARROLL</v>
      </c>
      <c r="I131" t="str">
        <f t="shared" ref="I131:I194" si="38">LEFT(A131,3)&amp;"."&amp;LEFT(D131,1)</f>
        <v>LER.C</v>
      </c>
      <c r="J131" t="s">
        <v>42</v>
      </c>
      <c r="K131" t="s">
        <v>952</v>
      </c>
      <c r="L131" t="s">
        <v>953</v>
      </c>
      <c r="M131" t="s">
        <v>301</v>
      </c>
      <c r="N131">
        <v>45202</v>
      </c>
      <c r="O131" t="str">
        <f t="shared" ref="O131:O194" si="39">IF(LEN(N131)=5,TEXT(N131,"#####"),IF(LEN(N131)=4,TEXT(N131,"0####")))</f>
        <v>45202</v>
      </c>
      <c r="P131" t="str">
        <f t="shared" si="32"/>
        <v>269 Rogers Street, Cincinnati, OH, 45202</v>
      </c>
      <c r="Q131" t="s">
        <v>954</v>
      </c>
      <c r="R131" t="str">
        <f t="shared" ref="R131:R194" si="40">LEFT(Q131,SEARCH("@",Q131)-1)</f>
        <v>LeroyRCarroll</v>
      </c>
      <c r="S131" t="str">
        <f t="shared" ref="S131:S194" si="41">RIGHT(Q131,LEN(Q131)-SEARCH("@",Q131))</f>
        <v>aol.com</v>
      </c>
      <c r="T131" t="str">
        <f t="shared" ref="T131:T194" si="42">IF(ISNUMBER(SEARCH("gmail",Q131)),"gmail",IF(ISNUMBER(SEARCH("aol",Q131)),"aol",IF(ISNUMBER(SEARCH("hotmail",Q131)),"hotmail","other")))</f>
        <v>aol</v>
      </c>
      <c r="U131" t="str">
        <f t="shared" ref="U131:U194" si="43">LEFT(Q131,SEARCH("@",Q131)-1)</f>
        <v>LeroyRCarroll</v>
      </c>
      <c r="V131" t="s">
        <v>955</v>
      </c>
      <c r="W131" t="str">
        <f t="shared" ref="W131:W194" si="44">LEFT(V131,4)</f>
        <v>513-</v>
      </c>
      <c r="X131" t="str">
        <f t="shared" ref="X131:X194" si="45">MID(V131,5,3)</f>
        <v>579</v>
      </c>
      <c r="Y131" t="str">
        <f t="shared" ref="Y131:Y194" si="46">RIGHT(V131,5)</f>
        <v>-4638</v>
      </c>
      <c r="Z131" t="str">
        <f>SUBSTITUTE(V131,"-","|",2)</f>
        <v>513-579|4638</v>
      </c>
      <c r="AA131" t="str">
        <f>LEFT(V131,3)</f>
        <v>513</v>
      </c>
      <c r="AB131" t="str">
        <f>MID(V131,5,3)</f>
        <v>579</v>
      </c>
      <c r="AC131" t="str">
        <f>RIGHT(V131,4)</f>
        <v>4638</v>
      </c>
      <c r="AD131" s="3" t="s">
        <v>956</v>
      </c>
      <c r="AE131" s="3" t="str">
        <f t="shared" ref="AE131:AE194" si="47">RIGHT(AD131,LEN(AD131)-SEARCH("-",AD131))</f>
        <v>165</v>
      </c>
    </row>
    <row r="132" spans="1:31">
      <c r="A132" t="s">
        <v>957</v>
      </c>
      <c r="B132" t="str">
        <f t="shared" si="33"/>
        <v>Teresa</v>
      </c>
      <c r="C132" t="s">
        <v>213</v>
      </c>
      <c r="D132" t="s">
        <v>958</v>
      </c>
      <c r="E132" t="str">
        <f t="shared" si="34"/>
        <v>Battin</v>
      </c>
      <c r="F132" t="str">
        <f t="shared" si="35"/>
        <v>TERESABATTIN</v>
      </c>
      <c r="G132" t="str">
        <f t="shared" si="36"/>
        <v>TERESABATTIN</v>
      </c>
      <c r="H132" t="str">
        <f t="shared" si="37"/>
        <v>TER BATTIN</v>
      </c>
      <c r="I132" t="str">
        <f t="shared" si="38"/>
        <v>TER.B</v>
      </c>
      <c r="J132" t="s">
        <v>32</v>
      </c>
      <c r="K132" t="s">
        <v>959</v>
      </c>
      <c r="L132" t="s">
        <v>264</v>
      </c>
      <c r="M132" t="s">
        <v>413</v>
      </c>
      <c r="N132">
        <v>21601</v>
      </c>
      <c r="O132" t="str">
        <f t="shared" si="39"/>
        <v>21601</v>
      </c>
      <c r="P132" t="str">
        <f t="shared" si="32"/>
        <v>702 Woodhill Avenue, Easton, MD, 21601</v>
      </c>
      <c r="Q132" t="s">
        <v>960</v>
      </c>
      <c r="R132" t="str">
        <f t="shared" si="40"/>
        <v>TeresaABattin</v>
      </c>
      <c r="S132" t="str">
        <f t="shared" si="41"/>
        <v>aol.com</v>
      </c>
      <c r="T132" t="str">
        <f t="shared" si="42"/>
        <v>aol</v>
      </c>
      <c r="U132" t="str">
        <f t="shared" si="43"/>
        <v>TeresaABattin</v>
      </c>
      <c r="V132" t="s">
        <v>961</v>
      </c>
      <c r="W132" t="str">
        <f t="shared" si="44"/>
        <v>410-</v>
      </c>
      <c r="X132" t="str">
        <f t="shared" si="45"/>
        <v>820</v>
      </c>
      <c r="Y132" t="str">
        <f t="shared" si="46"/>
        <v>-1785</v>
      </c>
      <c r="Z132" t="str">
        <f>SUBSTITUTE(V132,"-","|",2)</f>
        <v>410-820|1785</v>
      </c>
      <c r="AA132" t="str">
        <f>LEFT(V132,3)</f>
        <v>410</v>
      </c>
      <c r="AB132" t="str">
        <f>MID(V132,5,3)</f>
        <v>820</v>
      </c>
      <c r="AC132" t="str">
        <f>RIGHT(V132,4)</f>
        <v>1785</v>
      </c>
      <c r="AD132" s="3" t="s">
        <v>962</v>
      </c>
      <c r="AE132" s="3" t="str">
        <f t="shared" si="47"/>
        <v>541</v>
      </c>
    </row>
    <row r="133" spans="1:31">
      <c r="A133" t="s">
        <v>963</v>
      </c>
      <c r="B133" t="str">
        <f t="shared" si="33"/>
        <v>Gregory</v>
      </c>
      <c r="C133" t="s">
        <v>270</v>
      </c>
      <c r="D133" t="s">
        <v>595</v>
      </c>
      <c r="E133" t="str">
        <f t="shared" si="34"/>
        <v>Moore</v>
      </c>
      <c r="F133" t="str">
        <f t="shared" si="35"/>
        <v>GREGORYMOORE</v>
      </c>
      <c r="G133" t="str">
        <f t="shared" si="36"/>
        <v>GREGORYMOORE</v>
      </c>
      <c r="H133" t="str">
        <f t="shared" si="37"/>
        <v>GRE MOORE</v>
      </c>
      <c r="I133" t="str">
        <f t="shared" si="38"/>
        <v>GRE.M</v>
      </c>
      <c r="J133" t="s">
        <v>42</v>
      </c>
      <c r="K133" t="s">
        <v>964</v>
      </c>
      <c r="L133" t="s">
        <v>965</v>
      </c>
      <c r="M133" t="s">
        <v>200</v>
      </c>
      <c r="N133">
        <v>33301</v>
      </c>
      <c r="O133" t="str">
        <f t="shared" si="39"/>
        <v>33301</v>
      </c>
      <c r="P133" t="str">
        <f t="shared" si="32"/>
        <v>856 Everette Alley, Fort Lauderdale, FL, 33301</v>
      </c>
      <c r="Q133" t="s">
        <v>966</v>
      </c>
      <c r="R133" t="str">
        <f t="shared" si="40"/>
        <v>GregoryVMoore</v>
      </c>
      <c r="S133" t="str">
        <f t="shared" si="41"/>
        <v>gmail.com</v>
      </c>
      <c r="T133" t="str">
        <f t="shared" si="42"/>
        <v>gmail</v>
      </c>
      <c r="U133" t="str">
        <f t="shared" si="43"/>
        <v>GregoryVMoore</v>
      </c>
      <c r="V133" t="s">
        <v>967</v>
      </c>
      <c r="W133" t="str">
        <f t="shared" si="44"/>
        <v>954-</v>
      </c>
      <c r="X133" t="str">
        <f t="shared" si="45"/>
        <v>762</v>
      </c>
      <c r="Y133" t="str">
        <f t="shared" si="46"/>
        <v>-9105</v>
      </c>
      <c r="Z133" t="str">
        <f>SUBSTITUTE(V133,"-","|",2)</f>
        <v>954-762|9105</v>
      </c>
      <c r="AA133" t="str">
        <f>LEFT(V133,3)</f>
        <v>954</v>
      </c>
      <c r="AB133" t="str">
        <f>MID(V133,5,3)</f>
        <v>762</v>
      </c>
      <c r="AC133" t="str">
        <f>RIGHT(V133,4)</f>
        <v>9105</v>
      </c>
      <c r="AD133" s="3" t="s">
        <v>968</v>
      </c>
      <c r="AE133" s="3" t="str">
        <f t="shared" si="47"/>
        <v>036</v>
      </c>
    </row>
    <row r="134" spans="1:31">
      <c r="A134" t="s">
        <v>969</v>
      </c>
      <c r="B134" t="str">
        <f t="shared" si="33"/>
        <v>Faith</v>
      </c>
      <c r="C134" t="s">
        <v>30</v>
      </c>
      <c r="D134" t="s">
        <v>970</v>
      </c>
      <c r="E134" t="str">
        <f t="shared" si="34"/>
        <v>Hagans</v>
      </c>
      <c r="F134" t="str">
        <f t="shared" si="35"/>
        <v>FAITHHAGANS</v>
      </c>
      <c r="G134" t="str">
        <f t="shared" si="36"/>
        <v>FAITHHAGANS</v>
      </c>
      <c r="H134" t="str">
        <f t="shared" si="37"/>
        <v>FAI HAGANS</v>
      </c>
      <c r="I134" t="str">
        <f t="shared" si="38"/>
        <v>FAI.H</v>
      </c>
      <c r="J134" t="s">
        <v>32</v>
      </c>
      <c r="K134" t="s">
        <v>971</v>
      </c>
      <c r="L134" t="s">
        <v>972</v>
      </c>
      <c r="M134" t="s">
        <v>559</v>
      </c>
      <c r="N134">
        <v>50703</v>
      </c>
      <c r="O134" t="str">
        <f t="shared" si="39"/>
        <v>50703</v>
      </c>
      <c r="P134" t="str">
        <f t="shared" si="32"/>
        <v>1491 Tecumsah Lane, Waterloo, IA, 50703</v>
      </c>
      <c r="Q134" t="s">
        <v>973</v>
      </c>
      <c r="R134" t="str">
        <f t="shared" si="40"/>
        <v>FaithJHagans</v>
      </c>
      <c r="S134" t="str">
        <f t="shared" si="41"/>
        <v>hotmail.com</v>
      </c>
      <c r="T134" t="str">
        <f t="shared" si="42"/>
        <v>hotmail</v>
      </c>
      <c r="U134" t="str">
        <f t="shared" si="43"/>
        <v>FaithJHagans</v>
      </c>
      <c r="V134" t="s">
        <v>974</v>
      </c>
      <c r="W134" t="str">
        <f t="shared" si="44"/>
        <v>319-</v>
      </c>
      <c r="X134" t="str">
        <f t="shared" si="45"/>
        <v>236</v>
      </c>
      <c r="Y134" t="str">
        <f t="shared" si="46"/>
        <v>-0382</v>
      </c>
      <c r="Z134" t="str">
        <f>SUBSTITUTE(V134,"-","|",2)</f>
        <v>319-236|0382</v>
      </c>
      <c r="AA134" t="str">
        <f>LEFT(V134,3)</f>
        <v>319</v>
      </c>
      <c r="AB134" t="str">
        <f>MID(V134,5,3)</f>
        <v>236</v>
      </c>
      <c r="AC134" t="str">
        <f>RIGHT(V134,4)</f>
        <v>0382</v>
      </c>
      <c r="AD134" s="3" t="s">
        <v>975</v>
      </c>
      <c r="AE134" s="3" t="str">
        <f t="shared" si="47"/>
        <v>511</v>
      </c>
    </row>
    <row r="135" spans="1:31">
      <c r="A135" t="s">
        <v>654</v>
      </c>
      <c r="B135" t="str">
        <f t="shared" si="33"/>
        <v>Michael</v>
      </c>
      <c r="C135" t="s">
        <v>213</v>
      </c>
      <c r="D135" t="s">
        <v>976</v>
      </c>
      <c r="E135" t="str">
        <f t="shared" si="34"/>
        <v>Logsdon</v>
      </c>
      <c r="F135" t="str">
        <f t="shared" si="35"/>
        <v>MICHAELLOGSDON</v>
      </c>
      <c r="G135" t="str">
        <f t="shared" si="36"/>
        <v>MICHAELLOGSDON</v>
      </c>
      <c r="H135" t="str">
        <f t="shared" si="37"/>
        <v>MIC LOGSDON</v>
      </c>
      <c r="I135" t="str">
        <f t="shared" si="38"/>
        <v>MIC.L</v>
      </c>
      <c r="J135" t="s">
        <v>42</v>
      </c>
      <c r="K135" t="s">
        <v>977</v>
      </c>
      <c r="L135" t="s">
        <v>232</v>
      </c>
      <c r="M135" t="s">
        <v>45</v>
      </c>
      <c r="N135">
        <v>90066</v>
      </c>
      <c r="O135" t="str">
        <f t="shared" si="39"/>
        <v>90066</v>
      </c>
      <c r="P135" t="str">
        <f t="shared" si="32"/>
        <v>3225 Libby Street, Los Angeles, CA, 90066</v>
      </c>
      <c r="Q135" t="s">
        <v>978</v>
      </c>
      <c r="R135" t="str">
        <f t="shared" si="40"/>
        <v>MichaelALogsdon</v>
      </c>
      <c r="S135" t="str">
        <f t="shared" si="41"/>
        <v>aol.com</v>
      </c>
      <c r="T135" t="str">
        <f t="shared" si="42"/>
        <v>aol</v>
      </c>
      <c r="U135" t="str">
        <f t="shared" si="43"/>
        <v>MichaelALogsdon</v>
      </c>
      <c r="V135" t="s">
        <v>979</v>
      </c>
      <c r="W135" t="str">
        <f t="shared" si="44"/>
        <v>310-</v>
      </c>
      <c r="X135" t="str">
        <f t="shared" si="45"/>
        <v>313</v>
      </c>
      <c r="Y135" t="str">
        <f t="shared" si="46"/>
        <v>-9536</v>
      </c>
      <c r="Z135" t="str">
        <f>SUBSTITUTE(V135,"-","|",2)</f>
        <v>310-313|9536</v>
      </c>
      <c r="AA135" t="str">
        <f>LEFT(V135,3)</f>
        <v>310</v>
      </c>
      <c r="AB135" t="str">
        <f>MID(V135,5,3)</f>
        <v>313</v>
      </c>
      <c r="AC135" t="str">
        <f>RIGHT(V135,4)</f>
        <v>9536</v>
      </c>
      <c r="AD135" s="3" t="s">
        <v>980</v>
      </c>
      <c r="AE135" s="3" t="str">
        <f t="shared" si="47"/>
        <v>549</v>
      </c>
    </row>
    <row r="136" spans="1:31">
      <c r="A136" t="s">
        <v>335</v>
      </c>
      <c r="B136" t="str">
        <f t="shared" si="33"/>
        <v>Anthony</v>
      </c>
      <c r="C136" t="s">
        <v>67</v>
      </c>
      <c r="D136" t="s">
        <v>981</v>
      </c>
      <c r="E136" t="str">
        <f t="shared" si="34"/>
        <v>Chavez</v>
      </c>
      <c r="F136" t="str">
        <f t="shared" si="35"/>
        <v>ANTHONYCHAVEZ</v>
      </c>
      <c r="G136" t="str">
        <f t="shared" si="36"/>
        <v>ANTHONYCHAVEZ</v>
      </c>
      <c r="H136" t="str">
        <f t="shared" si="37"/>
        <v>ANT CHAVEZ</v>
      </c>
      <c r="I136" t="str">
        <f t="shared" si="38"/>
        <v>ANT.C</v>
      </c>
      <c r="J136" t="s">
        <v>42</v>
      </c>
      <c r="K136" t="s">
        <v>982</v>
      </c>
      <c r="L136" t="s">
        <v>983</v>
      </c>
      <c r="M136" t="s">
        <v>35</v>
      </c>
      <c r="N136">
        <v>60005</v>
      </c>
      <c r="O136" t="str">
        <f t="shared" si="39"/>
        <v>60005</v>
      </c>
      <c r="P136" t="str">
        <f t="shared" si="32"/>
        <v>4494 Flinderation Road, Arlington Heights, IL, 60005</v>
      </c>
      <c r="Q136" t="s">
        <v>984</v>
      </c>
      <c r="R136" t="str">
        <f t="shared" si="40"/>
        <v>AnthonyDChavez</v>
      </c>
      <c r="S136" t="str">
        <f t="shared" si="41"/>
        <v>aol.com</v>
      </c>
      <c r="T136" t="str">
        <f t="shared" si="42"/>
        <v>aol</v>
      </c>
      <c r="U136" t="str">
        <f t="shared" si="43"/>
        <v>AnthonyDChavez</v>
      </c>
      <c r="V136" t="s">
        <v>985</v>
      </c>
      <c r="W136" t="str">
        <f t="shared" si="44"/>
        <v>708-</v>
      </c>
      <c r="X136" t="str">
        <f t="shared" si="45"/>
        <v>398</v>
      </c>
      <c r="Y136" t="str">
        <f t="shared" si="46"/>
        <v>-9663</v>
      </c>
      <c r="Z136" t="str">
        <f>SUBSTITUTE(V136,"-","|",2)</f>
        <v>708-398|9663</v>
      </c>
      <c r="AA136" t="str">
        <f>LEFT(V136,3)</f>
        <v>708</v>
      </c>
      <c r="AB136" t="str">
        <f>MID(V136,5,3)</f>
        <v>398</v>
      </c>
      <c r="AC136" t="str">
        <f>RIGHT(V136,4)</f>
        <v>9663</v>
      </c>
      <c r="AD136" s="3" t="s">
        <v>986</v>
      </c>
      <c r="AE136" s="3" t="str">
        <f t="shared" si="47"/>
        <v>165</v>
      </c>
    </row>
    <row r="137" spans="1:31">
      <c r="A137" t="s">
        <v>987</v>
      </c>
      <c r="B137" t="str">
        <f t="shared" si="33"/>
        <v>Amanda</v>
      </c>
      <c r="C137" t="s">
        <v>182</v>
      </c>
      <c r="D137" t="s">
        <v>988</v>
      </c>
      <c r="E137" t="str">
        <f t="shared" si="34"/>
        <v>Milano</v>
      </c>
      <c r="F137" t="str">
        <f t="shared" si="35"/>
        <v>AMANDAMILANO</v>
      </c>
      <c r="G137" t="str">
        <f t="shared" si="36"/>
        <v>AMANDAMILANO</v>
      </c>
      <c r="H137" t="str">
        <f t="shared" si="37"/>
        <v>AMA MILANO</v>
      </c>
      <c r="I137" t="str">
        <f t="shared" si="38"/>
        <v>AMA.M</v>
      </c>
      <c r="J137" t="s">
        <v>32</v>
      </c>
      <c r="K137" t="s">
        <v>989</v>
      </c>
      <c r="L137" t="s">
        <v>87</v>
      </c>
      <c r="M137" t="s">
        <v>88</v>
      </c>
      <c r="N137">
        <v>78741</v>
      </c>
      <c r="O137" t="str">
        <f t="shared" si="39"/>
        <v>78741</v>
      </c>
      <c r="P137" t="str">
        <f t="shared" si="32"/>
        <v>3070 Bubby Drive, Austin, TX, 78741</v>
      </c>
      <c r="Q137" t="s">
        <v>990</v>
      </c>
      <c r="R137" t="str">
        <f t="shared" si="40"/>
        <v>AmandaCMilano</v>
      </c>
      <c r="S137" t="str">
        <f t="shared" si="41"/>
        <v>aol.com</v>
      </c>
      <c r="T137" t="str">
        <f t="shared" si="42"/>
        <v>aol</v>
      </c>
      <c r="U137" t="str">
        <f t="shared" si="43"/>
        <v>AmandaCMilano</v>
      </c>
      <c r="V137" t="s">
        <v>991</v>
      </c>
      <c r="W137" t="str">
        <f t="shared" si="44"/>
        <v>512-</v>
      </c>
      <c r="X137" t="str">
        <f t="shared" si="45"/>
        <v>439</v>
      </c>
      <c r="Y137" t="str">
        <f t="shared" si="46"/>
        <v>-0332</v>
      </c>
      <c r="Z137" t="str">
        <f>SUBSTITUTE(V137,"-","|",2)</f>
        <v>512-439|0332</v>
      </c>
      <c r="AA137" t="str">
        <f>LEFT(V137,3)</f>
        <v>512</v>
      </c>
      <c r="AB137" t="str">
        <f>MID(V137,5,3)</f>
        <v>439</v>
      </c>
      <c r="AC137" t="str">
        <f>RIGHT(V137,4)</f>
        <v>0332</v>
      </c>
      <c r="AD137" s="3" t="s">
        <v>992</v>
      </c>
      <c r="AE137" s="3" t="str">
        <f t="shared" si="47"/>
        <v>0157</v>
      </c>
    </row>
    <row r="138" spans="1:31">
      <c r="A138" t="s">
        <v>993</v>
      </c>
      <c r="B138" t="str">
        <f t="shared" si="33"/>
        <v>Shayna</v>
      </c>
      <c r="C138" t="s">
        <v>166</v>
      </c>
      <c r="D138" t="s">
        <v>994</v>
      </c>
      <c r="E138" t="str">
        <f t="shared" si="34"/>
        <v>German</v>
      </c>
      <c r="F138" t="str">
        <f t="shared" si="35"/>
        <v>SHAYNAGERMAN</v>
      </c>
      <c r="G138" t="str">
        <f t="shared" si="36"/>
        <v>SHAYNAGERMAN</v>
      </c>
      <c r="H138" t="str">
        <f t="shared" si="37"/>
        <v>SHA GERMAN</v>
      </c>
      <c r="I138" t="str">
        <f t="shared" si="38"/>
        <v>SHA.G</v>
      </c>
      <c r="J138" t="s">
        <v>32</v>
      </c>
      <c r="K138" t="s">
        <v>995</v>
      </c>
      <c r="L138" t="s">
        <v>996</v>
      </c>
      <c r="M138" t="s">
        <v>153</v>
      </c>
      <c r="N138">
        <v>53703</v>
      </c>
      <c r="O138" t="str">
        <f t="shared" si="39"/>
        <v>53703</v>
      </c>
      <c r="P138" t="str">
        <f t="shared" si="32"/>
        <v>854 Primrose Lane, Madison, WI, 53703</v>
      </c>
      <c r="Q138" t="s">
        <v>997</v>
      </c>
      <c r="R138" t="str">
        <f t="shared" si="40"/>
        <v>ShaynaBGerman</v>
      </c>
      <c r="S138" t="str">
        <f t="shared" si="41"/>
        <v>aol.com</v>
      </c>
      <c r="T138" t="str">
        <f t="shared" si="42"/>
        <v>aol</v>
      </c>
      <c r="U138" t="str">
        <f t="shared" si="43"/>
        <v>ShaynaBGerman</v>
      </c>
      <c r="V138" t="s">
        <v>998</v>
      </c>
      <c r="W138" t="str">
        <f t="shared" si="44"/>
        <v>608-</v>
      </c>
      <c r="X138" t="str">
        <f t="shared" si="45"/>
        <v>646</v>
      </c>
      <c r="Y138" t="str">
        <f t="shared" si="46"/>
        <v>-8991</v>
      </c>
      <c r="Z138" t="str">
        <f>SUBSTITUTE(V138,"-","|",2)</f>
        <v>608-646|8991</v>
      </c>
      <c r="AA138" t="str">
        <f>LEFT(V138,3)</f>
        <v>608</v>
      </c>
      <c r="AB138" t="str">
        <f>MID(V138,5,3)</f>
        <v>646</v>
      </c>
      <c r="AC138" t="str">
        <f>RIGHT(V138,4)</f>
        <v>8991</v>
      </c>
      <c r="AD138" s="3" t="s">
        <v>999</v>
      </c>
      <c r="AE138" s="3" t="str">
        <f t="shared" si="47"/>
        <v>993</v>
      </c>
    </row>
    <row r="139" spans="1:31">
      <c r="A139" t="s">
        <v>140</v>
      </c>
      <c r="B139" t="str">
        <f t="shared" si="33"/>
        <v>Barbara</v>
      </c>
      <c r="C139" t="s">
        <v>132</v>
      </c>
      <c r="D139" t="s">
        <v>1000</v>
      </c>
      <c r="E139" t="str">
        <f t="shared" si="34"/>
        <v>Hansen</v>
      </c>
      <c r="F139" t="str">
        <f t="shared" si="35"/>
        <v>BARBARAHANSEN</v>
      </c>
      <c r="G139" t="str">
        <f t="shared" si="36"/>
        <v>BARBARAHANSEN</v>
      </c>
      <c r="H139" t="str">
        <f t="shared" si="37"/>
        <v>BAR HANSEN</v>
      </c>
      <c r="I139" t="str">
        <f t="shared" si="38"/>
        <v>BAR.H</v>
      </c>
      <c r="J139" t="s">
        <v>32</v>
      </c>
      <c r="K139" t="s">
        <v>1001</v>
      </c>
      <c r="L139" t="s">
        <v>315</v>
      </c>
      <c r="M139" t="s">
        <v>200</v>
      </c>
      <c r="N139">
        <v>33901</v>
      </c>
      <c r="O139" t="str">
        <f t="shared" si="39"/>
        <v>33901</v>
      </c>
      <c r="P139" t="str">
        <f t="shared" si="32"/>
        <v>3561 Sunburst Drive, Fort Myers, FL, 33901</v>
      </c>
      <c r="Q139" t="s">
        <v>1002</v>
      </c>
      <c r="R139" t="str">
        <f t="shared" si="40"/>
        <v>BarbaraRHansen</v>
      </c>
      <c r="S139" t="str">
        <f t="shared" si="41"/>
        <v>aol.com</v>
      </c>
      <c r="T139" t="str">
        <f t="shared" si="42"/>
        <v>aol</v>
      </c>
      <c r="U139" t="str">
        <f t="shared" si="43"/>
        <v>BarbaraRHansen</v>
      </c>
      <c r="V139" t="s">
        <v>1003</v>
      </c>
      <c r="W139" t="str">
        <f t="shared" si="44"/>
        <v>239-</v>
      </c>
      <c r="X139" t="str">
        <f t="shared" si="45"/>
        <v>331</v>
      </c>
      <c r="Y139" t="str">
        <f t="shared" si="46"/>
        <v>-9668</v>
      </c>
      <c r="Z139" t="str">
        <f>SUBSTITUTE(V139,"-","|",2)</f>
        <v>239-331|9668</v>
      </c>
      <c r="AA139" t="str">
        <f>LEFT(V139,3)</f>
        <v>239</v>
      </c>
      <c r="AB139" t="str">
        <f>MID(V139,5,3)</f>
        <v>331</v>
      </c>
      <c r="AC139" t="str">
        <f>RIGHT(V139,4)</f>
        <v>9668</v>
      </c>
      <c r="AD139" s="3" t="s">
        <v>1004</v>
      </c>
      <c r="AE139" s="3" t="str">
        <f t="shared" si="47"/>
        <v>4117</v>
      </c>
    </row>
    <row r="140" spans="1:31">
      <c r="A140" t="s">
        <v>842</v>
      </c>
      <c r="B140" t="str">
        <f t="shared" si="33"/>
        <v>Kenneth</v>
      </c>
      <c r="C140" t="s">
        <v>270</v>
      </c>
      <c r="D140" t="s">
        <v>1005</v>
      </c>
      <c r="E140" t="str">
        <f t="shared" si="34"/>
        <v>Kirby</v>
      </c>
      <c r="F140" t="str">
        <f t="shared" si="35"/>
        <v>KENNETHKIRBY</v>
      </c>
      <c r="G140" t="str">
        <f t="shared" si="36"/>
        <v>KENNETHKIRBY</v>
      </c>
      <c r="H140" t="str">
        <f t="shared" si="37"/>
        <v>KEN KIRBY</v>
      </c>
      <c r="I140" t="str">
        <f t="shared" si="38"/>
        <v>KEN.K</v>
      </c>
      <c r="J140" t="s">
        <v>42</v>
      </c>
      <c r="K140" t="s">
        <v>1006</v>
      </c>
      <c r="L140" t="s">
        <v>837</v>
      </c>
      <c r="M140" t="s">
        <v>323</v>
      </c>
      <c r="N140">
        <v>55401</v>
      </c>
      <c r="O140" t="str">
        <f t="shared" si="39"/>
        <v>55401</v>
      </c>
      <c r="P140" t="str">
        <f t="shared" si="32"/>
        <v>4459 B Street, Minneapolis, MN, 55401</v>
      </c>
      <c r="Q140" t="s">
        <v>1007</v>
      </c>
      <c r="R140" t="str">
        <f t="shared" si="40"/>
        <v>KennethVKirby</v>
      </c>
      <c r="S140" t="str">
        <f t="shared" si="41"/>
        <v>hotmail.com</v>
      </c>
      <c r="T140" t="str">
        <f t="shared" si="42"/>
        <v>hotmail</v>
      </c>
      <c r="U140" t="str">
        <f t="shared" si="43"/>
        <v>KennethVKirby</v>
      </c>
      <c r="V140" t="s">
        <v>1008</v>
      </c>
      <c r="W140" t="str">
        <f t="shared" si="44"/>
        <v>651-</v>
      </c>
      <c r="X140" t="str">
        <f t="shared" si="45"/>
        <v>691</v>
      </c>
      <c r="Y140" t="str">
        <f t="shared" si="46"/>
        <v>-3565</v>
      </c>
      <c r="Z140" t="str">
        <f>SUBSTITUTE(V140,"-","|",2)</f>
        <v>651-691|3565</v>
      </c>
      <c r="AA140" t="str">
        <f>LEFT(V140,3)</f>
        <v>651</v>
      </c>
      <c r="AB140" t="str">
        <f>MID(V140,5,3)</f>
        <v>691</v>
      </c>
      <c r="AC140" t="str">
        <f>RIGHT(V140,4)</f>
        <v>3565</v>
      </c>
      <c r="AD140" s="3" t="s">
        <v>1009</v>
      </c>
      <c r="AE140" s="3" t="str">
        <f t="shared" si="47"/>
        <v>778</v>
      </c>
    </row>
    <row r="141" spans="1:31">
      <c r="A141" t="s">
        <v>189</v>
      </c>
      <c r="B141" t="str">
        <f t="shared" si="33"/>
        <v>James</v>
      </c>
      <c r="C141" t="s">
        <v>343</v>
      </c>
      <c r="D141" t="s">
        <v>1010</v>
      </c>
      <c r="E141" t="str">
        <f t="shared" si="34"/>
        <v>Pettigrew</v>
      </c>
      <c r="F141" t="str">
        <f t="shared" si="35"/>
        <v>JAMESPETTIGREW</v>
      </c>
      <c r="G141" t="str">
        <f t="shared" si="36"/>
        <v>JAMESPETTIGREW</v>
      </c>
      <c r="H141" t="str">
        <f t="shared" si="37"/>
        <v>JAM PETTIGREW</v>
      </c>
      <c r="I141" t="str">
        <f t="shared" si="38"/>
        <v>JAM.P</v>
      </c>
      <c r="J141" t="s">
        <v>42</v>
      </c>
      <c r="K141" t="s">
        <v>1011</v>
      </c>
      <c r="L141" t="s">
        <v>1012</v>
      </c>
      <c r="M141" t="s">
        <v>871</v>
      </c>
      <c r="N141">
        <v>98168</v>
      </c>
      <c r="O141" t="str">
        <f t="shared" si="39"/>
        <v>98168</v>
      </c>
      <c r="P141" t="str">
        <f t="shared" si="32"/>
        <v>2694 Owagner Lane, Burien, WA, 98168</v>
      </c>
      <c r="Q141" t="s">
        <v>1013</v>
      </c>
      <c r="R141" t="str">
        <f t="shared" si="40"/>
        <v>JamesLPettigrew</v>
      </c>
      <c r="S141" t="str">
        <f t="shared" si="41"/>
        <v>gmail.com</v>
      </c>
      <c r="T141" t="str">
        <f t="shared" si="42"/>
        <v>gmail</v>
      </c>
      <c r="U141" t="str">
        <f t="shared" si="43"/>
        <v>JamesLPettigrew</v>
      </c>
      <c r="V141" t="s">
        <v>1014</v>
      </c>
      <c r="W141" t="str">
        <f t="shared" si="44"/>
        <v>206-</v>
      </c>
      <c r="X141" t="str">
        <f t="shared" si="45"/>
        <v>244</v>
      </c>
      <c r="Y141" t="str">
        <f t="shared" si="46"/>
        <v>-9336</v>
      </c>
      <c r="Z141" t="str">
        <f>SUBSTITUTE(V141,"-","|",2)</f>
        <v>206-244|9336</v>
      </c>
      <c r="AA141" t="str">
        <f>LEFT(V141,3)</f>
        <v>206</v>
      </c>
      <c r="AB141" t="str">
        <f>MID(V141,5,3)</f>
        <v>244</v>
      </c>
      <c r="AC141" t="str">
        <f>RIGHT(V141,4)</f>
        <v>9336</v>
      </c>
      <c r="AD141" s="3" t="s">
        <v>1015</v>
      </c>
      <c r="AE141" s="3" t="str">
        <f t="shared" si="47"/>
        <v>718</v>
      </c>
    </row>
    <row r="142" spans="1:31">
      <c r="A142" t="s">
        <v>1016</v>
      </c>
      <c r="B142" t="str">
        <f t="shared" si="33"/>
        <v>Roger</v>
      </c>
      <c r="C142" t="s">
        <v>58</v>
      </c>
      <c r="D142" t="s">
        <v>1017</v>
      </c>
      <c r="E142" t="str">
        <f t="shared" si="34"/>
        <v>Green</v>
      </c>
      <c r="F142" t="str">
        <f t="shared" si="35"/>
        <v>ROGERGREEN</v>
      </c>
      <c r="G142" t="str">
        <f t="shared" si="36"/>
        <v>ROGERGREEN</v>
      </c>
      <c r="H142" t="str">
        <f t="shared" si="37"/>
        <v>ROG GREEN</v>
      </c>
      <c r="I142" t="str">
        <f t="shared" si="38"/>
        <v>ROG.G</v>
      </c>
      <c r="J142" t="s">
        <v>42</v>
      </c>
      <c r="K142" t="s">
        <v>1018</v>
      </c>
      <c r="L142" t="s">
        <v>1019</v>
      </c>
      <c r="M142" t="s">
        <v>1020</v>
      </c>
      <c r="N142">
        <v>29059</v>
      </c>
      <c r="O142" t="str">
        <f t="shared" si="39"/>
        <v>29059</v>
      </c>
      <c r="P142" t="str">
        <f t="shared" si="32"/>
        <v>3689 Still Pastures Drive, Holly Hill, SC, 29059</v>
      </c>
      <c r="Q142" t="s">
        <v>1021</v>
      </c>
      <c r="R142" t="str">
        <f t="shared" si="40"/>
        <v>RogerMGreen</v>
      </c>
      <c r="S142" t="str">
        <f t="shared" si="41"/>
        <v>hotmail.com</v>
      </c>
      <c r="T142" t="str">
        <f t="shared" si="42"/>
        <v>hotmail</v>
      </c>
      <c r="U142" t="str">
        <f t="shared" si="43"/>
        <v>RogerMGreen</v>
      </c>
      <c r="V142" t="s">
        <v>1022</v>
      </c>
      <c r="W142" t="str">
        <f t="shared" si="44"/>
        <v>803-</v>
      </c>
      <c r="X142" t="str">
        <f t="shared" si="45"/>
        <v>496</v>
      </c>
      <c r="Y142" t="str">
        <f t="shared" si="46"/>
        <v>-2792</v>
      </c>
      <c r="Z142" t="str">
        <f>SUBSTITUTE(V142,"-","|",2)</f>
        <v>803-496|2792</v>
      </c>
      <c r="AA142" t="str">
        <f>LEFT(V142,3)</f>
        <v>803</v>
      </c>
      <c r="AB142" t="str">
        <f>MID(V142,5,3)</f>
        <v>496</v>
      </c>
      <c r="AC142" t="str">
        <f>RIGHT(V142,4)</f>
        <v>2792</v>
      </c>
      <c r="AD142" s="3" t="s">
        <v>1023</v>
      </c>
      <c r="AE142" s="3" t="str">
        <f t="shared" si="47"/>
        <v>875</v>
      </c>
    </row>
    <row r="143" spans="1:31">
      <c r="A143" t="s">
        <v>75</v>
      </c>
      <c r="B143" t="str">
        <f t="shared" si="33"/>
        <v>Joseph</v>
      </c>
      <c r="C143" t="s">
        <v>182</v>
      </c>
      <c r="D143" t="s">
        <v>1024</v>
      </c>
      <c r="E143" t="str">
        <f t="shared" si="34"/>
        <v>Roberts</v>
      </c>
      <c r="F143" t="str">
        <f t="shared" si="35"/>
        <v>JOSEPHROBERTS</v>
      </c>
      <c r="G143" t="str">
        <f t="shared" si="36"/>
        <v>JOSEPHROBERTS</v>
      </c>
      <c r="H143" t="str">
        <f t="shared" si="37"/>
        <v>JOS ROBERTS</v>
      </c>
      <c r="I143" t="str">
        <f t="shared" si="38"/>
        <v>JOS.R</v>
      </c>
      <c r="J143" t="s">
        <v>42</v>
      </c>
      <c r="K143" t="s">
        <v>1025</v>
      </c>
      <c r="L143" t="s">
        <v>1026</v>
      </c>
      <c r="M143" t="s">
        <v>104</v>
      </c>
      <c r="N143">
        <v>14006</v>
      </c>
      <c r="O143" t="str">
        <f t="shared" si="39"/>
        <v>14006</v>
      </c>
      <c r="P143" t="str">
        <f t="shared" si="32"/>
        <v>87 Nuzum Court, Angola, NY, 14006</v>
      </c>
      <c r="Q143" t="s">
        <v>1027</v>
      </c>
      <c r="R143" t="str">
        <f t="shared" si="40"/>
        <v>JosephCRoberts</v>
      </c>
      <c r="S143" t="str">
        <f t="shared" si="41"/>
        <v>aol.com</v>
      </c>
      <c r="T143" t="str">
        <f t="shared" si="42"/>
        <v>aol</v>
      </c>
      <c r="U143" t="str">
        <f t="shared" si="43"/>
        <v>JosephCRoberts</v>
      </c>
      <c r="V143" t="s">
        <v>1028</v>
      </c>
      <c r="W143" t="str">
        <f t="shared" si="44"/>
        <v>716-</v>
      </c>
      <c r="X143" t="str">
        <f t="shared" si="45"/>
        <v>549</v>
      </c>
      <c r="Y143" t="str">
        <f t="shared" si="46"/>
        <v>-1195</v>
      </c>
      <c r="Z143" t="str">
        <f>SUBSTITUTE(V143,"-","|",2)</f>
        <v>716-549|1195</v>
      </c>
      <c r="AA143" t="str">
        <f>LEFT(V143,3)</f>
        <v>716</v>
      </c>
      <c r="AB143" t="str">
        <f>MID(V143,5,3)</f>
        <v>549</v>
      </c>
      <c r="AC143" t="str">
        <f>RIGHT(V143,4)</f>
        <v>1195</v>
      </c>
      <c r="AD143" s="3" t="s">
        <v>1029</v>
      </c>
      <c r="AE143" s="3" t="str">
        <f t="shared" si="47"/>
        <v>9995</v>
      </c>
    </row>
    <row r="144" spans="1:31">
      <c r="A144" t="s">
        <v>1030</v>
      </c>
      <c r="B144" t="str">
        <f t="shared" si="33"/>
        <v>Heidi</v>
      </c>
      <c r="C144" t="s">
        <v>365</v>
      </c>
      <c r="D144" t="s">
        <v>1031</v>
      </c>
      <c r="E144" t="str">
        <f t="shared" si="34"/>
        <v>Sinquefield</v>
      </c>
      <c r="F144" t="str">
        <f t="shared" si="35"/>
        <v>HEIDISINQUEFIELD</v>
      </c>
      <c r="G144" t="str">
        <f t="shared" si="36"/>
        <v>HEIDISINQUEFIELD</v>
      </c>
      <c r="H144" t="str">
        <f t="shared" si="37"/>
        <v>HEI SINQUEFIELD</v>
      </c>
      <c r="I144" t="str">
        <f t="shared" si="38"/>
        <v>HEI.S</v>
      </c>
      <c r="J144" t="s">
        <v>32</v>
      </c>
      <c r="K144" t="s">
        <v>1032</v>
      </c>
      <c r="L144" t="s">
        <v>1033</v>
      </c>
      <c r="M144" t="s">
        <v>369</v>
      </c>
      <c r="N144">
        <v>85701</v>
      </c>
      <c r="O144" t="str">
        <f t="shared" si="39"/>
        <v>85701</v>
      </c>
      <c r="P144" t="str">
        <f t="shared" si="32"/>
        <v>4929 Elk Rd Little, Tucson, AZ, 85701</v>
      </c>
      <c r="Q144" t="s">
        <v>1034</v>
      </c>
      <c r="R144" t="str">
        <f t="shared" si="40"/>
        <v>HeidiGSinquefield</v>
      </c>
      <c r="S144" t="str">
        <f t="shared" si="41"/>
        <v>gmail.com</v>
      </c>
      <c r="T144" t="str">
        <f t="shared" si="42"/>
        <v>gmail</v>
      </c>
      <c r="U144" t="str">
        <f t="shared" si="43"/>
        <v>HeidiGSinquefield</v>
      </c>
      <c r="V144" t="s">
        <v>1035</v>
      </c>
      <c r="W144" t="str">
        <f t="shared" si="44"/>
        <v>520-</v>
      </c>
      <c r="X144" t="str">
        <f t="shared" si="45"/>
        <v>226</v>
      </c>
      <c r="Y144" t="str">
        <f t="shared" si="46"/>
        <v>-6462</v>
      </c>
      <c r="Z144" t="str">
        <f>SUBSTITUTE(V144,"-","|",2)</f>
        <v>520-226|6462</v>
      </c>
      <c r="AA144" t="str">
        <f>LEFT(V144,3)</f>
        <v>520</v>
      </c>
      <c r="AB144" t="str">
        <f>MID(V144,5,3)</f>
        <v>226</v>
      </c>
      <c r="AC144" t="str">
        <f>RIGHT(V144,4)</f>
        <v>6462</v>
      </c>
      <c r="AD144" s="3" t="s">
        <v>1036</v>
      </c>
      <c r="AE144" s="3" t="str">
        <f t="shared" si="47"/>
        <v>1580</v>
      </c>
    </row>
    <row r="145" spans="1:31">
      <c r="A145" t="s">
        <v>1037</v>
      </c>
      <c r="B145" t="str">
        <f t="shared" si="33"/>
        <v>Sam</v>
      </c>
      <c r="C145" t="s">
        <v>84</v>
      </c>
      <c r="D145" t="s">
        <v>1038</v>
      </c>
      <c r="E145" t="str">
        <f t="shared" si="34"/>
        <v>Hughes</v>
      </c>
      <c r="F145" t="str">
        <f t="shared" si="35"/>
        <v>SAMHUGHES</v>
      </c>
      <c r="G145" t="str">
        <f t="shared" si="36"/>
        <v>SAMHUGHES</v>
      </c>
      <c r="H145" t="str">
        <f t="shared" si="37"/>
        <v>SAM HUGHES</v>
      </c>
      <c r="I145" t="str">
        <f t="shared" si="38"/>
        <v>SAM.H</v>
      </c>
      <c r="J145" t="s">
        <v>42</v>
      </c>
      <c r="K145" t="s">
        <v>1039</v>
      </c>
      <c r="L145" t="s">
        <v>1040</v>
      </c>
      <c r="M145" t="s">
        <v>1020</v>
      </c>
      <c r="N145">
        <v>29706</v>
      </c>
      <c r="O145" t="str">
        <f t="shared" si="39"/>
        <v>29706</v>
      </c>
      <c r="P145" t="str">
        <f t="shared" si="32"/>
        <v>1097 Still Pastures Drive, Chester, SC, 29706</v>
      </c>
      <c r="Q145" t="s">
        <v>1041</v>
      </c>
      <c r="R145" t="str">
        <f t="shared" si="40"/>
        <v>SamKHughes</v>
      </c>
      <c r="S145" t="str">
        <f t="shared" si="41"/>
        <v>gmail.com</v>
      </c>
      <c r="T145" t="str">
        <f t="shared" si="42"/>
        <v>gmail</v>
      </c>
      <c r="U145" t="str">
        <f t="shared" si="43"/>
        <v>SamKHughes</v>
      </c>
      <c r="V145" t="s">
        <v>1042</v>
      </c>
      <c r="W145" t="str">
        <f t="shared" si="44"/>
        <v>803-</v>
      </c>
      <c r="X145" t="str">
        <f t="shared" si="45"/>
        <v>377</v>
      </c>
      <c r="Y145" t="str">
        <f t="shared" si="46"/>
        <v>-7264</v>
      </c>
      <c r="Z145" t="str">
        <f>SUBSTITUTE(V145,"-","|",2)</f>
        <v>803-377|7264</v>
      </c>
      <c r="AA145" t="str">
        <f>LEFT(V145,3)</f>
        <v>803</v>
      </c>
      <c r="AB145" t="str">
        <f>MID(V145,5,3)</f>
        <v>377</v>
      </c>
      <c r="AC145" t="str">
        <f>RIGHT(V145,4)</f>
        <v>7264</v>
      </c>
      <c r="AD145" s="3" t="s">
        <v>1043</v>
      </c>
      <c r="AE145" s="3" t="str">
        <f t="shared" si="47"/>
        <v>1384</v>
      </c>
    </row>
    <row r="146" spans="1:31">
      <c r="A146" t="s">
        <v>1044</v>
      </c>
      <c r="B146" t="str">
        <f t="shared" si="33"/>
        <v>Milton</v>
      </c>
      <c r="C146" t="s">
        <v>297</v>
      </c>
      <c r="D146" t="s">
        <v>410</v>
      </c>
      <c r="E146" t="str">
        <f t="shared" si="34"/>
        <v>Brown</v>
      </c>
      <c r="F146" t="str">
        <f t="shared" si="35"/>
        <v>MILTONBROWN</v>
      </c>
      <c r="G146" t="str">
        <f t="shared" si="36"/>
        <v>MILTONBROWN</v>
      </c>
      <c r="H146" t="str">
        <f t="shared" si="37"/>
        <v>MIL BROWN</v>
      </c>
      <c r="I146" t="str">
        <f t="shared" si="38"/>
        <v>MIL.B</v>
      </c>
      <c r="J146" t="s">
        <v>42</v>
      </c>
      <c r="K146" t="s">
        <v>1045</v>
      </c>
      <c r="L146" t="s">
        <v>1046</v>
      </c>
      <c r="M146" t="s">
        <v>347</v>
      </c>
      <c r="N146">
        <v>62220</v>
      </c>
      <c r="O146" t="str">
        <f t="shared" si="39"/>
        <v>62220</v>
      </c>
      <c r="P146" t="str">
        <f t="shared" si="32"/>
        <v>4245 Irving Place, Belleville, MO, 62220</v>
      </c>
      <c r="Q146" t="s">
        <v>1047</v>
      </c>
      <c r="R146" t="str">
        <f t="shared" si="40"/>
        <v>MiltonTBrown</v>
      </c>
      <c r="S146" t="str">
        <f t="shared" si="41"/>
        <v>aol.com</v>
      </c>
      <c r="T146" t="str">
        <f t="shared" si="42"/>
        <v>aol</v>
      </c>
      <c r="U146" t="str">
        <f t="shared" si="43"/>
        <v>MiltonTBrown</v>
      </c>
      <c r="V146" t="s">
        <v>1048</v>
      </c>
      <c r="W146" t="str">
        <f t="shared" si="44"/>
        <v>636-</v>
      </c>
      <c r="X146" t="str">
        <f t="shared" si="45"/>
        <v>323</v>
      </c>
      <c r="Y146" t="str">
        <f t="shared" si="46"/>
        <v>-3267</v>
      </c>
      <c r="Z146" t="str">
        <f>SUBSTITUTE(V146,"-","|",2)</f>
        <v>636-323|3267</v>
      </c>
      <c r="AA146" t="str">
        <f>LEFT(V146,3)</f>
        <v>636</v>
      </c>
      <c r="AB146" t="str">
        <f>MID(V146,5,3)</f>
        <v>323</v>
      </c>
      <c r="AC146" t="str">
        <f>RIGHT(V146,4)</f>
        <v>3267</v>
      </c>
      <c r="AD146" s="3" t="s">
        <v>1049</v>
      </c>
      <c r="AE146" s="3" t="str">
        <f t="shared" si="47"/>
        <v>502</v>
      </c>
    </row>
    <row r="147" spans="1:31">
      <c r="A147" t="s">
        <v>1050</v>
      </c>
      <c r="B147" t="str">
        <f t="shared" si="33"/>
        <v>Audrey</v>
      </c>
      <c r="C147" t="s">
        <v>58</v>
      </c>
      <c r="D147" t="s">
        <v>1044</v>
      </c>
      <c r="E147" t="str">
        <f t="shared" si="34"/>
        <v>Milton</v>
      </c>
      <c r="F147" t="str">
        <f t="shared" si="35"/>
        <v>AUDREYMILTON</v>
      </c>
      <c r="G147" t="str">
        <f t="shared" si="36"/>
        <v>AUDREYMILTON</v>
      </c>
      <c r="H147" t="str">
        <f t="shared" si="37"/>
        <v>AUD MILTON</v>
      </c>
      <c r="I147" t="str">
        <f t="shared" si="38"/>
        <v>AUD.M</v>
      </c>
      <c r="J147" t="s">
        <v>32</v>
      </c>
      <c r="K147" t="s">
        <v>1051</v>
      </c>
      <c r="L147" t="s">
        <v>1052</v>
      </c>
      <c r="M147" t="s">
        <v>871</v>
      </c>
      <c r="N147">
        <v>98402</v>
      </c>
      <c r="O147" t="str">
        <f t="shared" si="39"/>
        <v>98402</v>
      </c>
      <c r="P147" t="str">
        <f t="shared" si="32"/>
        <v>3779 Dale Avenue, Tacoma, WA, 98402</v>
      </c>
      <c r="Q147" t="s">
        <v>1053</v>
      </c>
      <c r="R147" t="str">
        <f t="shared" si="40"/>
        <v>AudreyMMilton</v>
      </c>
      <c r="S147" t="str">
        <f t="shared" si="41"/>
        <v>gmail.com</v>
      </c>
      <c r="T147" t="str">
        <f t="shared" si="42"/>
        <v>gmail</v>
      </c>
      <c r="U147" t="str">
        <f t="shared" si="43"/>
        <v>AudreyMMilton</v>
      </c>
      <c r="V147" t="s">
        <v>1054</v>
      </c>
      <c r="W147" t="str">
        <f t="shared" si="44"/>
        <v>253-</v>
      </c>
      <c r="X147" t="str">
        <f t="shared" si="45"/>
        <v>732</v>
      </c>
      <c r="Y147" t="str">
        <f t="shared" si="46"/>
        <v>-8965</v>
      </c>
      <c r="Z147" t="str">
        <f>SUBSTITUTE(V147,"-","|",2)</f>
        <v>253-732|8965</v>
      </c>
      <c r="AA147" t="str">
        <f>LEFT(V147,3)</f>
        <v>253</v>
      </c>
      <c r="AB147" t="str">
        <f>MID(V147,5,3)</f>
        <v>732</v>
      </c>
      <c r="AC147" t="str">
        <f>RIGHT(V147,4)</f>
        <v>8965</v>
      </c>
      <c r="AD147" s="3" t="s">
        <v>1055</v>
      </c>
      <c r="AE147" s="3" t="str">
        <f t="shared" si="47"/>
        <v>441</v>
      </c>
    </row>
    <row r="148" spans="1:31">
      <c r="A148" t="s">
        <v>1056</v>
      </c>
      <c r="B148" t="str">
        <f t="shared" si="33"/>
        <v>Diana</v>
      </c>
      <c r="C148" t="s">
        <v>30</v>
      </c>
      <c r="D148" t="s">
        <v>1057</v>
      </c>
      <c r="E148" t="str">
        <f t="shared" si="34"/>
        <v>Hancock</v>
      </c>
      <c r="F148" t="str">
        <f t="shared" si="35"/>
        <v>DIANAHANCOCK</v>
      </c>
      <c r="G148" t="str">
        <f t="shared" si="36"/>
        <v>DIANAHANCOCK</v>
      </c>
      <c r="H148" t="str">
        <f t="shared" si="37"/>
        <v>DIA HANCOCK</v>
      </c>
      <c r="I148" t="str">
        <f t="shared" si="38"/>
        <v>DIA.H</v>
      </c>
      <c r="J148" t="s">
        <v>32</v>
      </c>
      <c r="K148" t="s">
        <v>1058</v>
      </c>
      <c r="L148" t="s">
        <v>1059</v>
      </c>
      <c r="M148" t="s">
        <v>177</v>
      </c>
      <c r="N148">
        <v>38259</v>
      </c>
      <c r="O148" t="str">
        <f t="shared" si="39"/>
        <v>38259</v>
      </c>
      <c r="P148" t="str">
        <f t="shared" si="32"/>
        <v>1173 Mapleview Drive, Trimble, TN, 38259</v>
      </c>
      <c r="Q148" t="s">
        <v>1060</v>
      </c>
      <c r="R148" t="str">
        <f t="shared" si="40"/>
        <v>DianaJHancock</v>
      </c>
      <c r="S148" t="str">
        <f t="shared" si="41"/>
        <v>hotmail.com</v>
      </c>
      <c r="T148" t="str">
        <f t="shared" si="42"/>
        <v>hotmail</v>
      </c>
      <c r="U148" t="str">
        <f t="shared" si="43"/>
        <v>DianaJHancock</v>
      </c>
      <c r="V148" t="s">
        <v>1061</v>
      </c>
      <c r="W148" t="str">
        <f t="shared" si="44"/>
        <v>731-</v>
      </c>
      <c r="X148" t="str">
        <f t="shared" si="45"/>
        <v>297</v>
      </c>
      <c r="Y148" t="str">
        <f t="shared" si="46"/>
        <v>-1255</v>
      </c>
      <c r="Z148" t="str">
        <f>SUBSTITUTE(V148,"-","|",2)</f>
        <v>731-297|1255</v>
      </c>
      <c r="AA148" t="str">
        <f>LEFT(V148,3)</f>
        <v>731</v>
      </c>
      <c r="AB148" t="str">
        <f>MID(V148,5,3)</f>
        <v>297</v>
      </c>
      <c r="AC148" t="str">
        <f>RIGHT(V148,4)</f>
        <v>1255</v>
      </c>
      <c r="AD148" s="3" t="s">
        <v>1062</v>
      </c>
      <c r="AE148" s="3" t="str">
        <f t="shared" si="47"/>
        <v>995</v>
      </c>
    </row>
    <row r="149" spans="1:31">
      <c r="A149" t="s">
        <v>1063</v>
      </c>
      <c r="B149" t="str">
        <f t="shared" si="33"/>
        <v>Carmella</v>
      </c>
      <c r="C149" t="s">
        <v>182</v>
      </c>
      <c r="D149" t="s">
        <v>1064</v>
      </c>
      <c r="E149" t="str">
        <f t="shared" si="34"/>
        <v>Mora</v>
      </c>
      <c r="F149" t="str">
        <f t="shared" si="35"/>
        <v>CARMELLAMORA</v>
      </c>
      <c r="G149" t="str">
        <f t="shared" si="36"/>
        <v>CARMELLAMORA</v>
      </c>
      <c r="H149" t="str">
        <f t="shared" si="37"/>
        <v>CAR MORA</v>
      </c>
      <c r="I149" t="str">
        <f t="shared" si="38"/>
        <v>CAR.M</v>
      </c>
      <c r="J149" t="s">
        <v>32</v>
      </c>
      <c r="K149" t="s">
        <v>1065</v>
      </c>
      <c r="L149" t="s">
        <v>1066</v>
      </c>
      <c r="M149" t="s">
        <v>88</v>
      </c>
      <c r="N149">
        <v>75040</v>
      </c>
      <c r="O149" t="str">
        <f t="shared" si="39"/>
        <v>75040</v>
      </c>
      <c r="P149" t="str">
        <f t="shared" si="32"/>
        <v>2824 Wilson Avenue, Garland, TX, 75040</v>
      </c>
      <c r="Q149" t="s">
        <v>1067</v>
      </c>
      <c r="R149" t="str">
        <f t="shared" si="40"/>
        <v>CarmellaCMora</v>
      </c>
      <c r="S149" t="str">
        <f t="shared" si="41"/>
        <v>aol.com</v>
      </c>
      <c r="T149" t="str">
        <f t="shared" si="42"/>
        <v>aol</v>
      </c>
      <c r="U149" t="str">
        <f t="shared" si="43"/>
        <v>CarmellaCMora</v>
      </c>
      <c r="V149" t="s">
        <v>1068</v>
      </c>
      <c r="W149" t="str">
        <f t="shared" si="44"/>
        <v>972-</v>
      </c>
      <c r="X149" t="str">
        <f t="shared" si="45"/>
        <v>485</v>
      </c>
      <c r="Y149" t="str">
        <f t="shared" si="46"/>
        <v>-7316</v>
      </c>
      <c r="Z149" t="str">
        <f>SUBSTITUTE(V149,"-","|",2)</f>
        <v>972-485|7316</v>
      </c>
      <c r="AA149" t="str">
        <f>LEFT(V149,3)</f>
        <v>972</v>
      </c>
      <c r="AB149" t="str">
        <f>MID(V149,5,3)</f>
        <v>485</v>
      </c>
      <c r="AC149" t="str">
        <f>RIGHT(V149,4)</f>
        <v>7316</v>
      </c>
      <c r="AD149" s="3" t="s">
        <v>1069</v>
      </c>
      <c r="AE149" s="3" t="str">
        <f t="shared" si="47"/>
        <v>199</v>
      </c>
    </row>
    <row r="150" spans="1:31">
      <c r="A150" t="s">
        <v>1070</v>
      </c>
      <c r="B150" t="str">
        <f t="shared" si="33"/>
        <v>Allison</v>
      </c>
      <c r="C150" t="s">
        <v>843</v>
      </c>
      <c r="D150" t="s">
        <v>1071</v>
      </c>
      <c r="E150" t="str">
        <f t="shared" si="34"/>
        <v>Patton</v>
      </c>
      <c r="F150" t="str">
        <f t="shared" si="35"/>
        <v>ALLISONPATTON</v>
      </c>
      <c r="G150" t="str">
        <f t="shared" si="36"/>
        <v>ALLISONPATTON</v>
      </c>
      <c r="H150" t="str">
        <f t="shared" si="37"/>
        <v>ALL PATTON</v>
      </c>
      <c r="I150" t="str">
        <f t="shared" si="38"/>
        <v>ALL.P</v>
      </c>
      <c r="J150" t="s">
        <v>32</v>
      </c>
      <c r="K150" t="s">
        <v>1072</v>
      </c>
      <c r="L150" t="s">
        <v>1073</v>
      </c>
      <c r="M150" t="s">
        <v>538</v>
      </c>
      <c r="N150">
        <v>15205</v>
      </c>
      <c r="O150" t="str">
        <f t="shared" si="39"/>
        <v>15205</v>
      </c>
      <c r="P150" t="str">
        <f t="shared" si="32"/>
        <v>1879 Pine Street, Crafton, PA, 15205</v>
      </c>
      <c r="Q150" t="s">
        <v>1074</v>
      </c>
      <c r="R150" t="str">
        <f t="shared" si="40"/>
        <v>AllisonIPatton</v>
      </c>
      <c r="S150" t="str">
        <f t="shared" si="41"/>
        <v>aol.com</v>
      </c>
      <c r="T150" t="str">
        <f t="shared" si="42"/>
        <v>aol</v>
      </c>
      <c r="U150" t="str">
        <f t="shared" si="43"/>
        <v>AllisonIPatton</v>
      </c>
      <c r="V150" t="s">
        <v>1075</v>
      </c>
      <c r="W150" t="str">
        <f t="shared" si="44"/>
        <v>724-</v>
      </c>
      <c r="X150" t="str">
        <f t="shared" si="45"/>
        <v>263</v>
      </c>
      <c r="Y150" t="str">
        <f t="shared" si="46"/>
        <v>-7131</v>
      </c>
      <c r="Z150" t="str">
        <f>SUBSTITUTE(V150,"-","|",2)</f>
        <v>724-263|7131</v>
      </c>
      <c r="AA150" t="str">
        <f>LEFT(V150,3)</f>
        <v>724</v>
      </c>
      <c r="AB150" t="str">
        <f>MID(V150,5,3)</f>
        <v>263</v>
      </c>
      <c r="AC150" t="str">
        <f>RIGHT(V150,4)</f>
        <v>7131</v>
      </c>
      <c r="AD150" s="3" t="s">
        <v>1076</v>
      </c>
      <c r="AE150" s="3" t="str">
        <f t="shared" si="47"/>
        <v>797</v>
      </c>
    </row>
    <row r="151" spans="1:31">
      <c r="A151" t="s">
        <v>251</v>
      </c>
      <c r="B151" t="str">
        <f t="shared" si="33"/>
        <v>Robert</v>
      </c>
      <c r="C151" t="s">
        <v>40</v>
      </c>
      <c r="D151" t="s">
        <v>1077</v>
      </c>
      <c r="E151" t="str">
        <f t="shared" si="34"/>
        <v>Thurman</v>
      </c>
      <c r="F151" t="str">
        <f t="shared" si="35"/>
        <v>ROBERTTHURMAN</v>
      </c>
      <c r="G151" t="str">
        <f t="shared" si="36"/>
        <v>ROBERTTHURMAN</v>
      </c>
      <c r="H151" t="str">
        <f t="shared" si="37"/>
        <v>ROB THURMAN</v>
      </c>
      <c r="I151" t="str">
        <f t="shared" si="38"/>
        <v>ROB.T</v>
      </c>
      <c r="J151" t="s">
        <v>42</v>
      </c>
      <c r="K151" t="s">
        <v>1078</v>
      </c>
      <c r="L151" t="s">
        <v>1079</v>
      </c>
      <c r="M151" t="s">
        <v>161</v>
      </c>
      <c r="N151">
        <v>49548</v>
      </c>
      <c r="O151" t="str">
        <f t="shared" si="39"/>
        <v>49548</v>
      </c>
      <c r="P151" t="str">
        <f t="shared" si="32"/>
        <v>2396 Howard Street, Wyoming, MI, 49548</v>
      </c>
      <c r="Q151" t="s">
        <v>1080</v>
      </c>
      <c r="R151" t="str">
        <f t="shared" si="40"/>
        <v>RobertSThurman</v>
      </c>
      <c r="S151" t="str">
        <f t="shared" si="41"/>
        <v>aol.com</v>
      </c>
      <c r="T151" t="str">
        <f t="shared" si="42"/>
        <v>aol</v>
      </c>
      <c r="U151" t="str">
        <f t="shared" si="43"/>
        <v>RobertSThurman</v>
      </c>
      <c r="V151" t="s">
        <v>1081</v>
      </c>
      <c r="W151" t="str">
        <f t="shared" si="44"/>
        <v>616-</v>
      </c>
      <c r="X151" t="str">
        <f t="shared" si="45"/>
        <v>510</v>
      </c>
      <c r="Y151" t="str">
        <f t="shared" si="46"/>
        <v>-1257</v>
      </c>
      <c r="Z151" t="str">
        <f>SUBSTITUTE(V151,"-","|",2)</f>
        <v>616-510|1257</v>
      </c>
      <c r="AA151" t="str">
        <f>LEFT(V151,3)</f>
        <v>616</v>
      </c>
      <c r="AB151" t="str">
        <f>MID(V151,5,3)</f>
        <v>510</v>
      </c>
      <c r="AC151" t="str">
        <f>RIGHT(V151,4)</f>
        <v>1257</v>
      </c>
      <c r="AD151" s="3" t="s">
        <v>1082</v>
      </c>
      <c r="AE151" s="3" t="str">
        <f t="shared" si="47"/>
        <v>485</v>
      </c>
    </row>
    <row r="152" spans="1:31">
      <c r="A152" t="s">
        <v>1083</v>
      </c>
      <c r="B152" t="str">
        <f t="shared" si="33"/>
        <v>Meredith</v>
      </c>
      <c r="C152" t="s">
        <v>30</v>
      </c>
      <c r="D152" t="s">
        <v>1084</v>
      </c>
      <c r="E152" t="str">
        <f t="shared" si="34"/>
        <v>Bailey</v>
      </c>
      <c r="F152" t="str">
        <f t="shared" si="35"/>
        <v>MEREDITHBAILEY</v>
      </c>
      <c r="G152" t="str">
        <f t="shared" si="36"/>
        <v>MEREDITHBAILEY</v>
      </c>
      <c r="H152" t="str">
        <f t="shared" si="37"/>
        <v>MER BAILEY</v>
      </c>
      <c r="I152" t="str">
        <f t="shared" si="38"/>
        <v>MER.B</v>
      </c>
      <c r="J152" t="s">
        <v>32</v>
      </c>
      <c r="K152" t="s">
        <v>1085</v>
      </c>
      <c r="L152" t="s">
        <v>1086</v>
      </c>
      <c r="M152" t="s">
        <v>62</v>
      </c>
      <c r="N152">
        <v>24382</v>
      </c>
      <c r="O152" t="str">
        <f t="shared" si="39"/>
        <v>24382</v>
      </c>
      <c r="P152" t="str">
        <f t="shared" si="32"/>
        <v>4273 Douglas Dairy Road, Wytheville, VA, 24382</v>
      </c>
      <c r="Q152" t="s">
        <v>1087</v>
      </c>
      <c r="R152" t="str">
        <f t="shared" si="40"/>
        <v>MeredithJBailey</v>
      </c>
      <c r="S152" t="str">
        <f t="shared" si="41"/>
        <v>gmail.com</v>
      </c>
      <c r="T152" t="str">
        <f t="shared" si="42"/>
        <v>gmail</v>
      </c>
      <c r="U152" t="str">
        <f t="shared" si="43"/>
        <v>MeredithJBailey</v>
      </c>
      <c r="V152" t="s">
        <v>1088</v>
      </c>
      <c r="W152" t="str">
        <f t="shared" si="44"/>
        <v>276-</v>
      </c>
      <c r="X152" t="str">
        <f t="shared" si="45"/>
        <v>617</v>
      </c>
      <c r="Y152" t="str">
        <f t="shared" si="46"/>
        <v>-4436</v>
      </c>
      <c r="Z152" t="str">
        <f>SUBSTITUTE(V152,"-","|",2)</f>
        <v>276-617|4436</v>
      </c>
      <c r="AA152" t="str">
        <f>LEFT(V152,3)</f>
        <v>276</v>
      </c>
      <c r="AB152" t="str">
        <f>MID(V152,5,3)</f>
        <v>617</v>
      </c>
      <c r="AC152" t="str">
        <f>RIGHT(V152,4)</f>
        <v>4436</v>
      </c>
      <c r="AD152" s="3" t="s">
        <v>1089</v>
      </c>
      <c r="AE152" s="3" t="str">
        <f t="shared" si="47"/>
        <v>678</v>
      </c>
    </row>
    <row r="153" spans="1:31">
      <c r="A153" t="s">
        <v>1090</v>
      </c>
      <c r="B153" t="str">
        <f t="shared" si="33"/>
        <v>Maria</v>
      </c>
      <c r="C153" t="s">
        <v>124</v>
      </c>
      <c r="D153" t="s">
        <v>1091</v>
      </c>
      <c r="E153" t="str">
        <f t="shared" si="34"/>
        <v>Neal</v>
      </c>
      <c r="F153" t="str">
        <f t="shared" si="35"/>
        <v>MARIANEAL</v>
      </c>
      <c r="G153" t="str">
        <f t="shared" si="36"/>
        <v>MARIANEAL</v>
      </c>
      <c r="H153" t="str">
        <f t="shared" si="37"/>
        <v>MAR NEAL</v>
      </c>
      <c r="I153" t="str">
        <f t="shared" si="38"/>
        <v>MAR.N</v>
      </c>
      <c r="J153" t="s">
        <v>32</v>
      </c>
      <c r="K153" t="s">
        <v>1092</v>
      </c>
      <c r="L153" t="s">
        <v>1093</v>
      </c>
      <c r="M153" t="s">
        <v>200</v>
      </c>
      <c r="N153">
        <v>32750</v>
      </c>
      <c r="O153" t="str">
        <f t="shared" si="39"/>
        <v>32750</v>
      </c>
      <c r="P153" t="str">
        <f t="shared" si="32"/>
        <v>4040 McDonald Avenue, Longwood, FL, 32750</v>
      </c>
      <c r="Q153" t="s">
        <v>1094</v>
      </c>
      <c r="R153" t="str">
        <f t="shared" si="40"/>
        <v>MariaFNeal</v>
      </c>
      <c r="S153" t="str">
        <f t="shared" si="41"/>
        <v>hotmail.com</v>
      </c>
      <c r="T153" t="str">
        <f t="shared" si="42"/>
        <v>hotmail</v>
      </c>
      <c r="U153" t="str">
        <f t="shared" si="43"/>
        <v>MariaFNeal</v>
      </c>
      <c r="V153" t="s">
        <v>1095</v>
      </c>
      <c r="W153" t="str">
        <f t="shared" si="44"/>
        <v>407-</v>
      </c>
      <c r="X153" t="str">
        <f t="shared" si="45"/>
        <v>832</v>
      </c>
      <c r="Y153" t="str">
        <f t="shared" si="46"/>
        <v>-6664</v>
      </c>
      <c r="Z153" t="str">
        <f>SUBSTITUTE(V153,"-","|",2)</f>
        <v>407-832|6664</v>
      </c>
      <c r="AA153" t="str">
        <f>LEFT(V153,3)</f>
        <v>407</v>
      </c>
      <c r="AB153" t="str">
        <f>MID(V153,5,3)</f>
        <v>832</v>
      </c>
      <c r="AC153" t="str">
        <f>RIGHT(V153,4)</f>
        <v>6664</v>
      </c>
      <c r="AD153" s="3" t="s">
        <v>1096</v>
      </c>
      <c r="AE153" s="3" t="str">
        <f t="shared" si="47"/>
        <v>814</v>
      </c>
    </row>
    <row r="154" spans="1:31">
      <c r="A154" t="s">
        <v>1097</v>
      </c>
      <c r="B154" t="str">
        <f t="shared" si="33"/>
        <v>Pablo</v>
      </c>
      <c r="C154" t="s">
        <v>30</v>
      </c>
      <c r="D154" t="s">
        <v>1098</v>
      </c>
      <c r="E154" t="str">
        <f t="shared" si="34"/>
        <v>Breedlove</v>
      </c>
      <c r="F154" t="str">
        <f t="shared" si="35"/>
        <v>PABLOBREEDLOVE</v>
      </c>
      <c r="G154" t="str">
        <f t="shared" si="36"/>
        <v>PABLOBREEDLOVE</v>
      </c>
      <c r="H154" t="str">
        <f t="shared" si="37"/>
        <v>PAB BREEDLOVE</v>
      </c>
      <c r="I154" t="str">
        <f t="shared" si="38"/>
        <v>PAB.B</v>
      </c>
      <c r="J154" t="s">
        <v>42</v>
      </c>
      <c r="K154" t="s">
        <v>1099</v>
      </c>
      <c r="L154" t="s">
        <v>1100</v>
      </c>
      <c r="M154" t="s">
        <v>490</v>
      </c>
      <c r="N154">
        <v>57201</v>
      </c>
      <c r="O154" t="str">
        <f t="shared" si="39"/>
        <v>57201</v>
      </c>
      <c r="P154" t="str">
        <f t="shared" si="32"/>
        <v>2246 Leroy Lane, Watertown, SD, 57201</v>
      </c>
      <c r="Q154" t="s">
        <v>1101</v>
      </c>
      <c r="R154" t="str">
        <f t="shared" si="40"/>
        <v>PabloJBreedlove</v>
      </c>
      <c r="S154" t="str">
        <f t="shared" si="41"/>
        <v>hotmail.com</v>
      </c>
      <c r="T154" t="str">
        <f t="shared" si="42"/>
        <v>hotmail</v>
      </c>
      <c r="U154" t="str">
        <f t="shared" si="43"/>
        <v>PabloJBreedlove</v>
      </c>
      <c r="V154" t="s">
        <v>1102</v>
      </c>
      <c r="W154" t="str">
        <f t="shared" si="44"/>
        <v>605-</v>
      </c>
      <c r="X154" t="str">
        <f t="shared" si="45"/>
        <v>882</v>
      </c>
      <c r="Y154" t="str">
        <f t="shared" si="46"/>
        <v>-7735</v>
      </c>
      <c r="Z154" t="str">
        <f>SUBSTITUTE(V154,"-","|",2)</f>
        <v>605-882|7735</v>
      </c>
      <c r="AA154" t="str">
        <f>LEFT(V154,3)</f>
        <v>605</v>
      </c>
      <c r="AB154" t="str">
        <f>MID(V154,5,3)</f>
        <v>882</v>
      </c>
      <c r="AC154" t="str">
        <f>RIGHT(V154,4)</f>
        <v>7735</v>
      </c>
      <c r="AD154" s="3" t="s">
        <v>1103</v>
      </c>
      <c r="AE154" s="3" t="str">
        <f t="shared" si="47"/>
        <v>7337</v>
      </c>
    </row>
    <row r="155" spans="1:31">
      <c r="A155" t="s">
        <v>379</v>
      </c>
      <c r="B155" t="str">
        <f t="shared" si="33"/>
        <v>Melissa</v>
      </c>
      <c r="C155" t="s">
        <v>30</v>
      </c>
      <c r="D155" t="s">
        <v>158</v>
      </c>
      <c r="E155" t="str">
        <f t="shared" si="34"/>
        <v>Flores</v>
      </c>
      <c r="F155" t="str">
        <f t="shared" si="35"/>
        <v>MELISSAFLORES</v>
      </c>
      <c r="G155" t="str">
        <f t="shared" si="36"/>
        <v>MELISSAFLORES</v>
      </c>
      <c r="H155" t="str">
        <f t="shared" si="37"/>
        <v>MEL FLORES</v>
      </c>
      <c r="I155" t="str">
        <f t="shared" si="38"/>
        <v>MEL.F</v>
      </c>
      <c r="J155" t="s">
        <v>32</v>
      </c>
      <c r="K155" t="s">
        <v>1104</v>
      </c>
      <c r="L155" t="s">
        <v>1105</v>
      </c>
      <c r="M155" t="s">
        <v>776</v>
      </c>
      <c r="N155">
        <v>99567</v>
      </c>
      <c r="O155" t="str">
        <f t="shared" si="39"/>
        <v>99567</v>
      </c>
      <c r="P155" t="str">
        <f t="shared" si="32"/>
        <v>4286 Timbercrest Road, Chugiak, AK, 99567</v>
      </c>
      <c r="Q155" t="s">
        <v>1106</v>
      </c>
      <c r="R155" t="str">
        <f t="shared" si="40"/>
        <v>MelissaJFlores</v>
      </c>
      <c r="S155" t="str">
        <f t="shared" si="41"/>
        <v>aol.com</v>
      </c>
      <c r="T155" t="str">
        <f t="shared" si="42"/>
        <v>aol</v>
      </c>
      <c r="U155" t="str">
        <f t="shared" si="43"/>
        <v>MelissaJFlores</v>
      </c>
      <c r="V155" t="s">
        <v>1107</v>
      </c>
      <c r="W155" t="str">
        <f t="shared" si="44"/>
        <v>907-</v>
      </c>
      <c r="X155" t="str">
        <f t="shared" si="45"/>
        <v>688</v>
      </c>
      <c r="Y155" t="str">
        <f t="shared" si="46"/>
        <v>-3323</v>
      </c>
      <c r="Z155" t="str">
        <f>SUBSTITUTE(V155,"-","|",2)</f>
        <v>907-688|3323</v>
      </c>
      <c r="AA155" t="str">
        <f>LEFT(V155,3)</f>
        <v>907</v>
      </c>
      <c r="AB155" t="str">
        <f>MID(V155,5,3)</f>
        <v>688</v>
      </c>
      <c r="AC155" t="str">
        <f>RIGHT(V155,4)</f>
        <v>3323</v>
      </c>
      <c r="AD155" s="3" t="s">
        <v>1108</v>
      </c>
      <c r="AE155" s="3" t="str">
        <f t="shared" si="47"/>
        <v>6406</v>
      </c>
    </row>
    <row r="156" spans="1:31">
      <c r="A156" t="s">
        <v>251</v>
      </c>
      <c r="B156" t="str">
        <f t="shared" si="33"/>
        <v>Robert</v>
      </c>
      <c r="C156" t="s">
        <v>166</v>
      </c>
      <c r="D156" t="s">
        <v>1109</v>
      </c>
      <c r="E156" t="str">
        <f t="shared" si="34"/>
        <v>Nelson</v>
      </c>
      <c r="F156" t="str">
        <f t="shared" si="35"/>
        <v>ROBERTNELSON</v>
      </c>
      <c r="G156" t="str">
        <f t="shared" si="36"/>
        <v>ROBERTNELSON</v>
      </c>
      <c r="H156" t="str">
        <f t="shared" si="37"/>
        <v>ROB NELSON</v>
      </c>
      <c r="I156" t="str">
        <f t="shared" si="38"/>
        <v>ROB.N</v>
      </c>
      <c r="J156" t="s">
        <v>42</v>
      </c>
      <c r="K156" t="s">
        <v>1110</v>
      </c>
      <c r="L156" t="s">
        <v>1111</v>
      </c>
      <c r="M156" t="s">
        <v>35</v>
      </c>
      <c r="N156">
        <v>61938</v>
      </c>
      <c r="O156" t="str">
        <f t="shared" si="39"/>
        <v>61938</v>
      </c>
      <c r="P156" t="str">
        <f t="shared" si="32"/>
        <v>3206 University Hill Road, Mattoon, IL, 61938</v>
      </c>
      <c r="Q156" t="s">
        <v>1112</v>
      </c>
      <c r="R156" t="str">
        <f t="shared" si="40"/>
        <v>RobertBNelson</v>
      </c>
      <c r="S156" t="str">
        <f t="shared" si="41"/>
        <v>hotmail.com</v>
      </c>
      <c r="T156" t="str">
        <f t="shared" si="42"/>
        <v>hotmail</v>
      </c>
      <c r="U156" t="str">
        <f t="shared" si="43"/>
        <v>RobertBNelson</v>
      </c>
      <c r="V156" t="s">
        <v>1113</v>
      </c>
      <c r="W156" t="str">
        <f t="shared" si="44"/>
        <v>217-</v>
      </c>
      <c r="X156" t="str">
        <f t="shared" si="45"/>
        <v>603</v>
      </c>
      <c r="Y156" t="str">
        <f t="shared" si="46"/>
        <v>-5699</v>
      </c>
      <c r="Z156" t="str">
        <f>SUBSTITUTE(V156,"-","|",2)</f>
        <v>217-603|5699</v>
      </c>
      <c r="AA156" t="str">
        <f>LEFT(V156,3)</f>
        <v>217</v>
      </c>
      <c r="AB156" t="str">
        <f>MID(V156,5,3)</f>
        <v>603</v>
      </c>
      <c r="AC156" t="str">
        <f>RIGHT(V156,4)</f>
        <v>5699</v>
      </c>
      <c r="AD156" s="3" t="s">
        <v>1114</v>
      </c>
      <c r="AE156" s="3" t="str">
        <f t="shared" si="47"/>
        <v>5491</v>
      </c>
    </row>
    <row r="157" spans="1:31">
      <c r="A157" t="s">
        <v>901</v>
      </c>
      <c r="B157" t="str">
        <f t="shared" si="33"/>
        <v>Jerry</v>
      </c>
      <c r="C157" t="s">
        <v>40</v>
      </c>
      <c r="D157" t="s">
        <v>773</v>
      </c>
      <c r="E157" t="str">
        <f t="shared" si="34"/>
        <v>Torres</v>
      </c>
      <c r="F157" t="str">
        <f t="shared" si="35"/>
        <v>JERRYTORRES</v>
      </c>
      <c r="G157" t="str">
        <f t="shared" si="36"/>
        <v>JERRYTORRES</v>
      </c>
      <c r="H157" t="str">
        <f t="shared" si="37"/>
        <v>JER TORRES</v>
      </c>
      <c r="I157" t="str">
        <f t="shared" si="38"/>
        <v>JER.T</v>
      </c>
      <c r="J157" t="s">
        <v>42</v>
      </c>
      <c r="K157" t="s">
        <v>1115</v>
      </c>
      <c r="L157" t="s">
        <v>503</v>
      </c>
      <c r="M157" t="s">
        <v>200</v>
      </c>
      <c r="N157">
        <v>33311</v>
      </c>
      <c r="O157" t="str">
        <f t="shared" si="39"/>
        <v>33311</v>
      </c>
      <c r="P157" t="str">
        <f t="shared" si="32"/>
        <v>2264 Tyler Avenue, Ft Lauderdale, FL, 33311</v>
      </c>
      <c r="Q157" t="s">
        <v>1116</v>
      </c>
      <c r="R157" t="str">
        <f t="shared" si="40"/>
        <v>JerrySTorres</v>
      </c>
      <c r="S157" t="str">
        <f t="shared" si="41"/>
        <v>aol.com</v>
      </c>
      <c r="T157" t="str">
        <f t="shared" si="42"/>
        <v>aol</v>
      </c>
      <c r="U157" t="str">
        <f t="shared" si="43"/>
        <v>JerrySTorres</v>
      </c>
      <c r="V157" t="s">
        <v>1117</v>
      </c>
      <c r="W157" t="str">
        <f t="shared" si="44"/>
        <v>305-</v>
      </c>
      <c r="X157" t="str">
        <f t="shared" si="45"/>
        <v>336</v>
      </c>
      <c r="Y157" t="str">
        <f t="shared" si="46"/>
        <v>-9391</v>
      </c>
      <c r="Z157" t="str">
        <f>SUBSTITUTE(V157,"-","|",2)</f>
        <v>305-336|9391</v>
      </c>
      <c r="AA157" t="str">
        <f>LEFT(V157,3)</f>
        <v>305</v>
      </c>
      <c r="AB157" t="str">
        <f>MID(V157,5,3)</f>
        <v>336</v>
      </c>
      <c r="AC157" t="str">
        <f>RIGHT(V157,4)</f>
        <v>9391</v>
      </c>
      <c r="AD157" s="3" t="s">
        <v>1118</v>
      </c>
      <c r="AE157" s="3" t="str">
        <f t="shared" si="47"/>
        <v>1017</v>
      </c>
    </row>
    <row r="158" spans="1:31">
      <c r="A158" t="s">
        <v>1119</v>
      </c>
      <c r="B158" t="str">
        <f t="shared" si="33"/>
        <v>Theda</v>
      </c>
      <c r="C158" t="s">
        <v>781</v>
      </c>
      <c r="D158" t="s">
        <v>1120</v>
      </c>
      <c r="E158" t="str">
        <f t="shared" si="34"/>
        <v>Mathis</v>
      </c>
      <c r="F158" t="str">
        <f t="shared" si="35"/>
        <v>THEDAMATHIS</v>
      </c>
      <c r="G158" t="str">
        <f t="shared" si="36"/>
        <v>THEDAMATHIS</v>
      </c>
      <c r="H158" t="str">
        <f t="shared" si="37"/>
        <v>THE MATHIS</v>
      </c>
      <c r="I158" t="str">
        <f t="shared" si="38"/>
        <v>THE.M</v>
      </c>
      <c r="J158" t="s">
        <v>32</v>
      </c>
      <c r="K158" t="s">
        <v>1121</v>
      </c>
      <c r="L158" t="s">
        <v>1122</v>
      </c>
      <c r="M158" t="s">
        <v>538</v>
      </c>
      <c r="N158">
        <v>19403</v>
      </c>
      <c r="O158" t="str">
        <f t="shared" si="39"/>
        <v>19403</v>
      </c>
      <c r="P158" t="str">
        <f t="shared" si="32"/>
        <v>4689 Cityview Drive, Eagleville, PA, 19403</v>
      </c>
      <c r="Q158" t="s">
        <v>1123</v>
      </c>
      <c r="R158" t="str">
        <f t="shared" si="40"/>
        <v>ThedaNMathis</v>
      </c>
      <c r="S158" t="str">
        <f t="shared" si="41"/>
        <v>hotmail.com</v>
      </c>
      <c r="T158" t="str">
        <f t="shared" si="42"/>
        <v>hotmail</v>
      </c>
      <c r="U158" t="str">
        <f t="shared" si="43"/>
        <v>ThedaNMathis</v>
      </c>
      <c r="V158" t="s">
        <v>1124</v>
      </c>
      <c r="W158" t="str">
        <f t="shared" si="44"/>
        <v>610-</v>
      </c>
      <c r="X158" t="str">
        <f t="shared" si="45"/>
        <v>476</v>
      </c>
      <c r="Y158" t="str">
        <f t="shared" si="46"/>
        <v>-5230</v>
      </c>
      <c r="Z158" t="str">
        <f>SUBSTITUTE(V158,"-","|",2)</f>
        <v>610-476|5230</v>
      </c>
      <c r="AA158" t="str">
        <f>LEFT(V158,3)</f>
        <v>610</v>
      </c>
      <c r="AB158" t="str">
        <f>MID(V158,5,3)</f>
        <v>476</v>
      </c>
      <c r="AC158" t="str">
        <f>RIGHT(V158,4)</f>
        <v>5230</v>
      </c>
      <c r="AD158" s="3" t="s">
        <v>1125</v>
      </c>
      <c r="AE158" s="3" t="str">
        <f t="shared" si="47"/>
        <v>169</v>
      </c>
    </row>
    <row r="159" spans="1:31">
      <c r="A159" t="s">
        <v>1126</v>
      </c>
      <c r="B159" t="str">
        <f t="shared" si="33"/>
        <v>Leslie</v>
      </c>
      <c r="C159" t="s">
        <v>30</v>
      </c>
      <c r="D159" t="s">
        <v>1127</v>
      </c>
      <c r="E159" t="str">
        <f t="shared" si="34"/>
        <v>Fogle</v>
      </c>
      <c r="F159" t="str">
        <f t="shared" si="35"/>
        <v>LESLIEFOGLE</v>
      </c>
      <c r="G159" t="str">
        <f t="shared" si="36"/>
        <v>LESLIEFOGLE</v>
      </c>
      <c r="H159" t="str">
        <f t="shared" si="37"/>
        <v>LES FOGLE</v>
      </c>
      <c r="I159" t="str">
        <f t="shared" si="38"/>
        <v>LES.F</v>
      </c>
      <c r="J159" t="s">
        <v>32</v>
      </c>
      <c r="K159" t="s">
        <v>1128</v>
      </c>
      <c r="L159" t="s">
        <v>1129</v>
      </c>
      <c r="M159" t="s">
        <v>1130</v>
      </c>
      <c r="N159">
        <v>96813</v>
      </c>
      <c r="O159" t="str">
        <f t="shared" si="39"/>
        <v>96813</v>
      </c>
      <c r="P159" t="str">
        <f t="shared" si="32"/>
        <v>2406 Arron Smith Drive, Honolulu, HI, 96813</v>
      </c>
      <c r="Q159" t="s">
        <v>1131</v>
      </c>
      <c r="R159" t="str">
        <f t="shared" si="40"/>
        <v>LeslieJFogle</v>
      </c>
      <c r="S159" t="str">
        <f t="shared" si="41"/>
        <v>hotmail.com</v>
      </c>
      <c r="T159" t="str">
        <f t="shared" si="42"/>
        <v>hotmail</v>
      </c>
      <c r="U159" t="str">
        <f t="shared" si="43"/>
        <v>LeslieJFogle</v>
      </c>
      <c r="V159" t="s">
        <v>1132</v>
      </c>
      <c r="W159" t="str">
        <f t="shared" si="44"/>
        <v>808-</v>
      </c>
      <c r="X159" t="str">
        <f t="shared" si="45"/>
        <v>467</v>
      </c>
      <c r="Y159" t="str">
        <f t="shared" si="46"/>
        <v>-6020</v>
      </c>
      <c r="Z159" t="str">
        <f>SUBSTITUTE(V159,"-","|",2)</f>
        <v>808-467|6020</v>
      </c>
      <c r="AA159" t="str">
        <f>LEFT(V159,3)</f>
        <v>808</v>
      </c>
      <c r="AB159" t="str">
        <f>MID(V159,5,3)</f>
        <v>467</v>
      </c>
      <c r="AC159" t="str">
        <f>RIGHT(V159,4)</f>
        <v>6020</v>
      </c>
      <c r="AD159" s="3" t="s">
        <v>1133</v>
      </c>
      <c r="AE159" s="3" t="str">
        <f t="shared" si="47"/>
        <v>991</v>
      </c>
    </row>
    <row r="160" spans="1:31">
      <c r="A160" t="s">
        <v>1134</v>
      </c>
      <c r="B160" t="str">
        <f t="shared" si="33"/>
        <v>Beatrice</v>
      </c>
      <c r="C160" t="s">
        <v>84</v>
      </c>
      <c r="D160" t="s">
        <v>1135</v>
      </c>
      <c r="E160" t="str">
        <f t="shared" si="34"/>
        <v>Sanchez</v>
      </c>
      <c r="F160" t="str">
        <f t="shared" si="35"/>
        <v>BEATRICESANCHEZ</v>
      </c>
      <c r="G160" t="str">
        <f t="shared" si="36"/>
        <v>BEATRICESANCHEZ</v>
      </c>
      <c r="H160" t="str">
        <f t="shared" si="37"/>
        <v>BEA SANCHEZ</v>
      </c>
      <c r="I160" t="str">
        <f t="shared" si="38"/>
        <v>BEA.S</v>
      </c>
      <c r="J160" t="s">
        <v>32</v>
      </c>
      <c r="K160" t="s">
        <v>1136</v>
      </c>
      <c r="L160" t="s">
        <v>1137</v>
      </c>
      <c r="M160" t="s">
        <v>530</v>
      </c>
      <c r="N160">
        <v>38801</v>
      </c>
      <c r="O160" t="str">
        <f t="shared" si="39"/>
        <v>38801</v>
      </c>
      <c r="P160" t="str">
        <f t="shared" si="32"/>
        <v>3708 Rafe Lane, Tupelo, MS, 38801</v>
      </c>
      <c r="Q160" t="s">
        <v>1138</v>
      </c>
      <c r="R160" t="str">
        <f t="shared" si="40"/>
        <v>BeatriceKSanchez</v>
      </c>
      <c r="S160" t="str">
        <f t="shared" si="41"/>
        <v>hotmail.com</v>
      </c>
      <c r="T160" t="str">
        <f t="shared" si="42"/>
        <v>hotmail</v>
      </c>
      <c r="U160" t="str">
        <f t="shared" si="43"/>
        <v>BeatriceKSanchez</v>
      </c>
      <c r="V160" t="s">
        <v>1139</v>
      </c>
      <c r="W160" t="str">
        <f t="shared" si="44"/>
        <v>662-</v>
      </c>
      <c r="X160" t="str">
        <f t="shared" si="45"/>
        <v>691</v>
      </c>
      <c r="Y160" t="str">
        <f t="shared" si="46"/>
        <v>-0811</v>
      </c>
      <c r="Z160" t="str">
        <f>SUBSTITUTE(V160,"-","|",2)</f>
        <v>662-691|0811</v>
      </c>
      <c r="AA160" t="str">
        <f>LEFT(V160,3)</f>
        <v>662</v>
      </c>
      <c r="AB160" t="str">
        <f>MID(V160,5,3)</f>
        <v>691</v>
      </c>
      <c r="AC160" t="str">
        <f>RIGHT(V160,4)</f>
        <v>0811</v>
      </c>
      <c r="AD160" s="3" t="s">
        <v>1140</v>
      </c>
      <c r="AE160" s="3" t="str">
        <f t="shared" si="47"/>
        <v>7749</v>
      </c>
    </row>
    <row r="161" spans="1:31">
      <c r="A161" t="s">
        <v>189</v>
      </c>
      <c r="B161" t="str">
        <f t="shared" si="33"/>
        <v>James</v>
      </c>
      <c r="C161" t="s">
        <v>132</v>
      </c>
      <c r="D161" t="s">
        <v>1141</v>
      </c>
      <c r="E161" t="str">
        <f t="shared" si="34"/>
        <v>Hartley</v>
      </c>
      <c r="F161" t="str">
        <f t="shared" si="35"/>
        <v>JAMESHARTLEY</v>
      </c>
      <c r="G161" t="str">
        <f t="shared" si="36"/>
        <v>JAMESHARTLEY</v>
      </c>
      <c r="H161" t="str">
        <f t="shared" si="37"/>
        <v>JAM HARTLEY</v>
      </c>
      <c r="I161" t="str">
        <f t="shared" si="38"/>
        <v>JAM.H</v>
      </c>
      <c r="J161" t="s">
        <v>42</v>
      </c>
      <c r="K161" t="s">
        <v>1142</v>
      </c>
      <c r="L161" t="s">
        <v>1143</v>
      </c>
      <c r="M161" t="s">
        <v>161</v>
      </c>
      <c r="N161">
        <v>49503</v>
      </c>
      <c r="O161" t="str">
        <f t="shared" si="39"/>
        <v>49503</v>
      </c>
      <c r="P161" t="str">
        <f t="shared" si="32"/>
        <v>3582 Echo Lane, Grand Rapids, MI, 49503</v>
      </c>
      <c r="Q161" t="s">
        <v>1144</v>
      </c>
      <c r="R161" t="str">
        <f t="shared" si="40"/>
        <v>JamesRHartley</v>
      </c>
      <c r="S161" t="str">
        <f t="shared" si="41"/>
        <v>gmail.com</v>
      </c>
      <c r="T161" t="str">
        <f t="shared" si="42"/>
        <v>gmail</v>
      </c>
      <c r="U161" t="str">
        <f t="shared" si="43"/>
        <v>JamesRHartley</v>
      </c>
      <c r="V161" t="s">
        <v>1145</v>
      </c>
      <c r="W161" t="str">
        <f t="shared" si="44"/>
        <v>269-</v>
      </c>
      <c r="X161" t="str">
        <f t="shared" si="45"/>
        <v>815</v>
      </c>
      <c r="Y161" t="str">
        <f t="shared" si="46"/>
        <v>-1770</v>
      </c>
      <c r="Z161" t="str">
        <f>SUBSTITUTE(V161,"-","|",2)</f>
        <v>269-815|1770</v>
      </c>
      <c r="AA161" t="str">
        <f>LEFT(V161,3)</f>
        <v>269</v>
      </c>
      <c r="AB161" t="str">
        <f>MID(V161,5,3)</f>
        <v>815</v>
      </c>
      <c r="AC161" t="str">
        <f>RIGHT(V161,4)</f>
        <v>1770</v>
      </c>
      <c r="AD161" s="3" t="s">
        <v>1146</v>
      </c>
      <c r="AE161" s="3" t="str">
        <f t="shared" si="47"/>
        <v>0729</v>
      </c>
    </row>
    <row r="162" spans="1:31">
      <c r="A162" t="s">
        <v>1147</v>
      </c>
      <c r="B162" t="str">
        <f t="shared" si="33"/>
        <v>Scott</v>
      </c>
      <c r="C162" t="s">
        <v>261</v>
      </c>
      <c r="D162" t="s">
        <v>1148</v>
      </c>
      <c r="E162" t="str">
        <f t="shared" si="34"/>
        <v>Bull</v>
      </c>
      <c r="F162" t="str">
        <f t="shared" si="35"/>
        <v>SCOTTBULL</v>
      </c>
      <c r="G162" t="str">
        <f t="shared" si="36"/>
        <v>SCOTTBULL</v>
      </c>
      <c r="H162" t="str">
        <f t="shared" si="37"/>
        <v>SCO BULL</v>
      </c>
      <c r="I162" t="str">
        <f t="shared" si="38"/>
        <v>SCO.B</v>
      </c>
      <c r="J162" t="s">
        <v>42</v>
      </c>
      <c r="K162" t="s">
        <v>1149</v>
      </c>
      <c r="L162" t="s">
        <v>1150</v>
      </c>
      <c r="M162" t="s">
        <v>538</v>
      </c>
      <c r="N162">
        <v>19426</v>
      </c>
      <c r="O162" t="str">
        <f t="shared" si="39"/>
        <v>19426</v>
      </c>
      <c r="P162" t="str">
        <f t="shared" si="32"/>
        <v>666 Berkley Street, Collegeville, PA, 19426</v>
      </c>
      <c r="Q162" t="s">
        <v>1151</v>
      </c>
      <c r="R162" t="str">
        <f t="shared" si="40"/>
        <v>ScottWBull</v>
      </c>
      <c r="S162" t="str">
        <f t="shared" si="41"/>
        <v>aol.com</v>
      </c>
      <c r="T162" t="str">
        <f t="shared" si="42"/>
        <v>aol</v>
      </c>
      <c r="U162" t="str">
        <f t="shared" si="43"/>
        <v>ScottWBull</v>
      </c>
      <c r="V162" t="s">
        <v>1152</v>
      </c>
      <c r="W162" t="str">
        <f t="shared" si="44"/>
        <v>484-</v>
      </c>
      <c r="X162" t="str">
        <f t="shared" si="45"/>
        <v>902</v>
      </c>
      <c r="Y162" t="str">
        <f t="shared" si="46"/>
        <v>-6607</v>
      </c>
      <c r="Z162" t="str">
        <f>SUBSTITUTE(V162,"-","|",2)</f>
        <v>484-902|6607</v>
      </c>
      <c r="AA162" t="str">
        <f>LEFT(V162,3)</f>
        <v>484</v>
      </c>
      <c r="AB162" t="str">
        <f>MID(V162,5,3)</f>
        <v>902</v>
      </c>
      <c r="AC162" t="str">
        <f>RIGHT(V162,4)</f>
        <v>6607</v>
      </c>
      <c r="AD162" s="3" t="s">
        <v>1153</v>
      </c>
      <c r="AE162" s="3" t="str">
        <f t="shared" si="47"/>
        <v>0419</v>
      </c>
    </row>
    <row r="163" spans="1:31">
      <c r="A163" t="s">
        <v>1154</v>
      </c>
      <c r="B163" t="str">
        <f t="shared" si="33"/>
        <v>Gabriela</v>
      </c>
      <c r="C163" t="s">
        <v>166</v>
      </c>
      <c r="D163" t="s">
        <v>1155</v>
      </c>
      <c r="E163" t="str">
        <f t="shared" si="34"/>
        <v>Jackson</v>
      </c>
      <c r="F163" t="str">
        <f t="shared" si="35"/>
        <v>GABRIELAJACKSON</v>
      </c>
      <c r="G163" t="str">
        <f t="shared" si="36"/>
        <v>GABRIELAJACKSON</v>
      </c>
      <c r="H163" t="str">
        <f t="shared" si="37"/>
        <v>GAB JACKSON</v>
      </c>
      <c r="I163" t="str">
        <f t="shared" si="38"/>
        <v>GAB.J</v>
      </c>
      <c r="J163" t="s">
        <v>32</v>
      </c>
      <c r="K163" t="s">
        <v>1156</v>
      </c>
      <c r="L163" t="s">
        <v>1157</v>
      </c>
      <c r="M163" t="s">
        <v>104</v>
      </c>
      <c r="N163">
        <v>10013</v>
      </c>
      <c r="O163" t="str">
        <f t="shared" si="39"/>
        <v>10013</v>
      </c>
      <c r="P163" t="str">
        <f t="shared" si="32"/>
        <v>4588 Pallet Street, New York, NY, 10013</v>
      </c>
      <c r="Q163" t="s">
        <v>1158</v>
      </c>
      <c r="R163" t="str">
        <f t="shared" si="40"/>
        <v>GabrielaBJackson</v>
      </c>
      <c r="S163" t="str">
        <f t="shared" si="41"/>
        <v>aol.com</v>
      </c>
      <c r="T163" t="str">
        <f t="shared" si="42"/>
        <v>aol</v>
      </c>
      <c r="U163" t="str">
        <f t="shared" si="43"/>
        <v>GabrielaBJackson</v>
      </c>
      <c r="V163" t="s">
        <v>1159</v>
      </c>
      <c r="W163" t="str">
        <f t="shared" si="44"/>
        <v>914-</v>
      </c>
      <c r="X163" t="str">
        <f t="shared" si="45"/>
        <v>315</v>
      </c>
      <c r="Y163" t="str">
        <f t="shared" si="46"/>
        <v>-5689</v>
      </c>
      <c r="Z163" t="str">
        <f>SUBSTITUTE(V163,"-","|",2)</f>
        <v>914-315|5689</v>
      </c>
      <c r="AA163" t="str">
        <f>LEFT(V163,3)</f>
        <v>914</v>
      </c>
      <c r="AB163" t="str">
        <f>MID(V163,5,3)</f>
        <v>315</v>
      </c>
      <c r="AC163" t="str">
        <f>RIGHT(V163,4)</f>
        <v>5689</v>
      </c>
      <c r="AD163" s="3" t="s">
        <v>1160</v>
      </c>
      <c r="AE163" s="3" t="str">
        <f t="shared" si="47"/>
        <v>187</v>
      </c>
    </row>
    <row r="164" spans="1:31">
      <c r="A164" t="s">
        <v>1161</v>
      </c>
      <c r="B164" t="str">
        <f t="shared" si="33"/>
        <v>Agnes</v>
      </c>
      <c r="C164" t="s">
        <v>58</v>
      </c>
      <c r="D164" t="s">
        <v>1162</v>
      </c>
      <c r="E164" t="str">
        <f t="shared" si="34"/>
        <v>Schmidt</v>
      </c>
      <c r="F164" t="str">
        <f t="shared" si="35"/>
        <v>AGNESSCHMIDT</v>
      </c>
      <c r="G164" t="str">
        <f t="shared" si="36"/>
        <v>AGNESSCHMIDT</v>
      </c>
      <c r="H164" t="str">
        <f t="shared" si="37"/>
        <v>AGN SCHMIDT</v>
      </c>
      <c r="I164" t="str">
        <f t="shared" si="38"/>
        <v>AGN.S</v>
      </c>
      <c r="J164" t="s">
        <v>32</v>
      </c>
      <c r="K164" t="s">
        <v>1163</v>
      </c>
      <c r="L164" t="s">
        <v>440</v>
      </c>
      <c r="M164" t="s">
        <v>441</v>
      </c>
      <c r="N164">
        <v>80202</v>
      </c>
      <c r="O164" t="str">
        <f t="shared" si="39"/>
        <v>80202</v>
      </c>
      <c r="P164" t="str">
        <f t="shared" si="32"/>
        <v>876 Logan Lane, Denver, CO, 80202</v>
      </c>
      <c r="Q164" t="s">
        <v>1164</v>
      </c>
      <c r="R164" t="str">
        <f t="shared" si="40"/>
        <v>AgnesMSchmidt</v>
      </c>
      <c r="S164" t="str">
        <f t="shared" si="41"/>
        <v>aol.com</v>
      </c>
      <c r="T164" t="str">
        <f t="shared" si="42"/>
        <v>aol</v>
      </c>
      <c r="U164" t="str">
        <f t="shared" si="43"/>
        <v>AgnesMSchmidt</v>
      </c>
      <c r="V164" t="s">
        <v>1165</v>
      </c>
      <c r="W164" t="str">
        <f t="shared" si="44"/>
        <v>303-</v>
      </c>
      <c r="X164" t="str">
        <f t="shared" si="45"/>
        <v>285</v>
      </c>
      <c r="Y164" t="str">
        <f t="shared" si="46"/>
        <v>-1449</v>
      </c>
      <c r="Z164" t="str">
        <f>SUBSTITUTE(V164,"-","|",2)</f>
        <v>303-285|1449</v>
      </c>
      <c r="AA164" t="str">
        <f>LEFT(V164,3)</f>
        <v>303</v>
      </c>
      <c r="AB164" t="str">
        <f>MID(V164,5,3)</f>
        <v>285</v>
      </c>
      <c r="AC164" t="str">
        <f>RIGHT(V164,4)</f>
        <v>1449</v>
      </c>
      <c r="AD164" s="3" t="s">
        <v>1166</v>
      </c>
      <c r="AE164" s="3" t="str">
        <f t="shared" si="47"/>
        <v>2522</v>
      </c>
    </row>
    <row r="165" spans="1:31">
      <c r="A165" t="s">
        <v>1167</v>
      </c>
      <c r="B165" t="str">
        <f t="shared" si="33"/>
        <v>Troy</v>
      </c>
      <c r="C165" t="s">
        <v>30</v>
      </c>
      <c r="D165" t="s">
        <v>1168</v>
      </c>
      <c r="E165" t="str">
        <f t="shared" si="34"/>
        <v>Castellanos</v>
      </c>
      <c r="F165" t="str">
        <f t="shared" si="35"/>
        <v>TROYCASTELLANOS</v>
      </c>
      <c r="G165" t="str">
        <f t="shared" si="36"/>
        <v>TROYCASTELLANOS</v>
      </c>
      <c r="H165" t="str">
        <f t="shared" si="37"/>
        <v>TRO CASTELLANOS</v>
      </c>
      <c r="I165" t="str">
        <f t="shared" si="38"/>
        <v>TRO.C</v>
      </c>
      <c r="J165" t="s">
        <v>42</v>
      </c>
      <c r="K165" t="s">
        <v>1169</v>
      </c>
      <c r="L165" t="s">
        <v>1170</v>
      </c>
      <c r="M165" t="s">
        <v>45</v>
      </c>
      <c r="N165">
        <v>90802</v>
      </c>
      <c r="O165" t="str">
        <f t="shared" si="39"/>
        <v>90802</v>
      </c>
      <c r="P165" t="str">
        <f t="shared" si="32"/>
        <v>4622 Hillhaven Drive, Long Beach, CA, 90802</v>
      </c>
      <c r="Q165" t="s">
        <v>1171</v>
      </c>
      <c r="R165" t="str">
        <f t="shared" si="40"/>
        <v>TroyJCastellanos</v>
      </c>
      <c r="S165" t="str">
        <f t="shared" si="41"/>
        <v>gmail.com</v>
      </c>
      <c r="T165" t="str">
        <f t="shared" si="42"/>
        <v>gmail</v>
      </c>
      <c r="U165" t="str">
        <f t="shared" si="43"/>
        <v>TroyJCastellanos</v>
      </c>
      <c r="V165" t="s">
        <v>1172</v>
      </c>
      <c r="W165" t="str">
        <f t="shared" si="44"/>
        <v>323-</v>
      </c>
      <c r="X165" t="str">
        <f t="shared" si="45"/>
        <v>904</v>
      </c>
      <c r="Y165" t="str">
        <f t="shared" si="46"/>
        <v>-6802</v>
      </c>
      <c r="Z165" t="str">
        <f>SUBSTITUTE(V165,"-","|",2)</f>
        <v>323-904|6802</v>
      </c>
      <c r="AA165" t="str">
        <f>LEFT(V165,3)</f>
        <v>323</v>
      </c>
      <c r="AB165" t="str">
        <f>MID(V165,5,3)</f>
        <v>904</v>
      </c>
      <c r="AC165" t="str">
        <f>RIGHT(V165,4)</f>
        <v>6802</v>
      </c>
      <c r="AD165" s="3" t="s">
        <v>1173</v>
      </c>
      <c r="AE165" s="3" t="str">
        <f t="shared" si="47"/>
        <v>3510</v>
      </c>
    </row>
    <row r="166" spans="1:31">
      <c r="A166" t="s">
        <v>1174</v>
      </c>
      <c r="B166" t="str">
        <f t="shared" si="33"/>
        <v>Concetta</v>
      </c>
      <c r="C166" t="s">
        <v>166</v>
      </c>
      <c r="D166" t="s">
        <v>1175</v>
      </c>
      <c r="E166" t="str">
        <f t="shared" si="34"/>
        <v>Woodruff</v>
      </c>
      <c r="F166" t="str">
        <f t="shared" si="35"/>
        <v>CONCETTAWOODRUFF</v>
      </c>
      <c r="G166" t="str">
        <f t="shared" si="36"/>
        <v>CONCETTAWOODRUFF</v>
      </c>
      <c r="H166" t="str">
        <f t="shared" si="37"/>
        <v>CON WOODRUFF</v>
      </c>
      <c r="I166" t="str">
        <f t="shared" si="38"/>
        <v>CON.W</v>
      </c>
      <c r="J166" t="s">
        <v>32</v>
      </c>
      <c r="K166" t="s">
        <v>1176</v>
      </c>
      <c r="L166" t="s">
        <v>1177</v>
      </c>
      <c r="M166" t="s">
        <v>347</v>
      </c>
      <c r="N166">
        <v>64067</v>
      </c>
      <c r="O166" t="str">
        <f t="shared" si="39"/>
        <v>64067</v>
      </c>
      <c r="P166" t="str">
        <f t="shared" si="32"/>
        <v>4968 Fairmont Avenue, Lexington, MO, 64067</v>
      </c>
      <c r="Q166" t="s">
        <v>1178</v>
      </c>
      <c r="R166" t="str">
        <f t="shared" si="40"/>
        <v>ConcettaBWoodruff</v>
      </c>
      <c r="S166" t="str">
        <f t="shared" si="41"/>
        <v>aol.com</v>
      </c>
      <c r="T166" t="str">
        <f t="shared" si="42"/>
        <v>aol</v>
      </c>
      <c r="U166" t="str">
        <f t="shared" si="43"/>
        <v>ConcettaBWoodruff</v>
      </c>
      <c r="V166" t="s">
        <v>1179</v>
      </c>
      <c r="W166" t="str">
        <f t="shared" si="44"/>
        <v>660-</v>
      </c>
      <c r="X166" t="str">
        <f t="shared" si="45"/>
        <v>259</v>
      </c>
      <c r="Y166" t="str">
        <f t="shared" si="46"/>
        <v>-4549</v>
      </c>
      <c r="Z166" t="str">
        <f>SUBSTITUTE(V166,"-","|",2)</f>
        <v>660-259|4549</v>
      </c>
      <c r="AA166" t="str">
        <f>LEFT(V166,3)</f>
        <v>660</v>
      </c>
      <c r="AB166" t="str">
        <f>MID(V166,5,3)</f>
        <v>259</v>
      </c>
      <c r="AC166" t="str">
        <f>RIGHT(V166,4)</f>
        <v>4549</v>
      </c>
      <c r="AD166" s="3" t="s">
        <v>1180</v>
      </c>
      <c r="AE166" s="3" t="str">
        <f t="shared" si="47"/>
        <v>9485</v>
      </c>
    </row>
    <row r="167" spans="1:31">
      <c r="A167" t="s">
        <v>1181</v>
      </c>
      <c r="B167" t="str">
        <f t="shared" si="33"/>
        <v>Tracy</v>
      </c>
      <c r="C167" t="s">
        <v>132</v>
      </c>
      <c r="D167" t="s">
        <v>1182</v>
      </c>
      <c r="E167" t="str">
        <f t="shared" si="34"/>
        <v>Berry</v>
      </c>
      <c r="F167" t="str">
        <f t="shared" si="35"/>
        <v>TRACYBERRY</v>
      </c>
      <c r="G167" t="str">
        <f t="shared" si="36"/>
        <v>TRACYBERRY</v>
      </c>
      <c r="H167" t="str">
        <f t="shared" si="37"/>
        <v>TRA BERRY</v>
      </c>
      <c r="I167" t="str">
        <f t="shared" si="38"/>
        <v>TRA.B</v>
      </c>
      <c r="J167" t="s">
        <v>32</v>
      </c>
      <c r="K167" t="s">
        <v>1183</v>
      </c>
      <c r="L167" t="s">
        <v>858</v>
      </c>
      <c r="M167" t="s">
        <v>538</v>
      </c>
      <c r="N167">
        <v>19108</v>
      </c>
      <c r="O167" t="str">
        <f t="shared" si="39"/>
        <v>19108</v>
      </c>
      <c r="P167" t="str">
        <f t="shared" si="32"/>
        <v>1078 Spring Avenue, Philadelphia, PA, 19108</v>
      </c>
      <c r="Q167" t="s">
        <v>1184</v>
      </c>
      <c r="R167" t="str">
        <f t="shared" si="40"/>
        <v>TracyRBerry</v>
      </c>
      <c r="S167" t="str">
        <f t="shared" si="41"/>
        <v>hotmail.com</v>
      </c>
      <c r="T167" t="str">
        <f t="shared" si="42"/>
        <v>hotmail</v>
      </c>
      <c r="U167" t="str">
        <f t="shared" si="43"/>
        <v>TracyRBerry</v>
      </c>
      <c r="V167" t="s">
        <v>1185</v>
      </c>
      <c r="W167" t="str">
        <f t="shared" si="44"/>
        <v>267-</v>
      </c>
      <c r="X167" t="str">
        <f t="shared" si="45"/>
        <v>715</v>
      </c>
      <c r="Y167" t="str">
        <f t="shared" si="46"/>
        <v>-9830</v>
      </c>
      <c r="Z167" t="str">
        <f>SUBSTITUTE(V167,"-","|",2)</f>
        <v>267-715|9830</v>
      </c>
      <c r="AA167" t="str">
        <f>LEFT(V167,3)</f>
        <v>267</v>
      </c>
      <c r="AB167" t="str">
        <f>MID(V167,5,3)</f>
        <v>715</v>
      </c>
      <c r="AC167" t="str">
        <f>RIGHT(V167,4)</f>
        <v>9830</v>
      </c>
      <c r="AD167" s="3" t="s">
        <v>1186</v>
      </c>
      <c r="AE167" s="3" t="str">
        <f t="shared" si="47"/>
        <v>381</v>
      </c>
    </row>
    <row r="168" spans="1:31">
      <c r="A168" t="s">
        <v>471</v>
      </c>
      <c r="B168" t="str">
        <f t="shared" si="33"/>
        <v>David</v>
      </c>
      <c r="C168" t="s">
        <v>116</v>
      </c>
      <c r="D168" t="s">
        <v>1187</v>
      </c>
      <c r="E168" t="str">
        <f t="shared" si="34"/>
        <v>Taber</v>
      </c>
      <c r="F168" t="str">
        <f t="shared" si="35"/>
        <v>DAVIDTABER</v>
      </c>
      <c r="G168" t="str">
        <f t="shared" si="36"/>
        <v>DAVIDTABER</v>
      </c>
      <c r="H168" t="str">
        <f t="shared" si="37"/>
        <v>DAV TABER</v>
      </c>
      <c r="I168" t="str">
        <f t="shared" si="38"/>
        <v>DAV.T</v>
      </c>
      <c r="J168" t="s">
        <v>42</v>
      </c>
      <c r="K168" t="s">
        <v>1188</v>
      </c>
      <c r="L168" t="s">
        <v>1189</v>
      </c>
      <c r="M168" t="s">
        <v>559</v>
      </c>
      <c r="N168">
        <v>52052</v>
      </c>
      <c r="O168" t="str">
        <f t="shared" si="39"/>
        <v>52052</v>
      </c>
      <c r="P168" t="str">
        <f t="shared" si="32"/>
        <v>3787 Pin Oak Drive, Guttenberg, IA, 52052</v>
      </c>
      <c r="Q168" t="s">
        <v>1190</v>
      </c>
      <c r="R168" t="str">
        <f t="shared" si="40"/>
        <v>DavidHTaber</v>
      </c>
      <c r="S168" t="str">
        <f t="shared" si="41"/>
        <v>hotmail.com</v>
      </c>
      <c r="T168" t="str">
        <f t="shared" si="42"/>
        <v>hotmail</v>
      </c>
      <c r="U168" t="str">
        <f t="shared" si="43"/>
        <v>DavidHTaber</v>
      </c>
      <c r="V168" t="s">
        <v>1191</v>
      </c>
      <c r="W168" t="str">
        <f t="shared" si="44"/>
        <v>563-</v>
      </c>
      <c r="X168" t="str">
        <f t="shared" si="45"/>
        <v>252</v>
      </c>
      <c r="Y168" t="str">
        <f t="shared" si="46"/>
        <v>-9377</v>
      </c>
      <c r="Z168" t="str">
        <f>SUBSTITUTE(V168,"-","|",2)</f>
        <v>563-252|9377</v>
      </c>
      <c r="AA168" t="str">
        <f>LEFT(V168,3)</f>
        <v>563</v>
      </c>
      <c r="AB168" t="str">
        <f>MID(V168,5,3)</f>
        <v>252</v>
      </c>
      <c r="AC168" t="str">
        <f>RIGHT(V168,4)</f>
        <v>9377</v>
      </c>
      <c r="AD168" s="3" t="s">
        <v>1192</v>
      </c>
      <c r="AE168" s="3" t="str">
        <f t="shared" si="47"/>
        <v>4591</v>
      </c>
    </row>
    <row r="169" spans="1:31">
      <c r="A169" t="s">
        <v>1193</v>
      </c>
      <c r="B169" t="str">
        <f t="shared" si="33"/>
        <v>Anita</v>
      </c>
      <c r="C169" t="s">
        <v>30</v>
      </c>
      <c r="D169" t="s">
        <v>1194</v>
      </c>
      <c r="E169" t="str">
        <f t="shared" si="34"/>
        <v>Sachs</v>
      </c>
      <c r="F169" t="str">
        <f t="shared" si="35"/>
        <v>ANITASACHS</v>
      </c>
      <c r="G169" t="str">
        <f t="shared" si="36"/>
        <v>ANITASACHS</v>
      </c>
      <c r="H169" t="str">
        <f t="shared" si="37"/>
        <v>ANI SACHS</v>
      </c>
      <c r="I169" t="str">
        <f t="shared" si="38"/>
        <v>ANI.S</v>
      </c>
      <c r="J169" t="s">
        <v>32</v>
      </c>
      <c r="K169" t="s">
        <v>1195</v>
      </c>
      <c r="L169" t="s">
        <v>1196</v>
      </c>
      <c r="M169" t="s">
        <v>323</v>
      </c>
      <c r="N169">
        <v>55350</v>
      </c>
      <c r="O169" t="str">
        <f t="shared" si="39"/>
        <v>55350</v>
      </c>
      <c r="P169" t="str">
        <f t="shared" si="32"/>
        <v>677 Brighton Circle Road, Hutchinson, MN, 55350</v>
      </c>
      <c r="Q169" t="s">
        <v>1197</v>
      </c>
      <c r="R169" t="str">
        <f t="shared" si="40"/>
        <v>AnitaJSachs</v>
      </c>
      <c r="S169" t="str">
        <f t="shared" si="41"/>
        <v>hotmail.com</v>
      </c>
      <c r="T169" t="str">
        <f t="shared" si="42"/>
        <v>hotmail</v>
      </c>
      <c r="U169" t="str">
        <f t="shared" si="43"/>
        <v>AnitaJSachs</v>
      </c>
      <c r="V169" t="s">
        <v>1198</v>
      </c>
      <c r="W169" t="str">
        <f t="shared" si="44"/>
        <v>320-</v>
      </c>
      <c r="X169" t="str">
        <f t="shared" si="45"/>
        <v>552</v>
      </c>
      <c r="Y169" t="str">
        <f t="shared" si="46"/>
        <v>-4063</v>
      </c>
      <c r="Z169" t="str">
        <f>SUBSTITUTE(V169,"-","|",2)</f>
        <v>320-552|4063</v>
      </c>
      <c r="AA169" t="str">
        <f>LEFT(V169,3)</f>
        <v>320</v>
      </c>
      <c r="AB169" t="str">
        <f>MID(V169,5,3)</f>
        <v>552</v>
      </c>
      <c r="AC169" t="str">
        <f>RIGHT(V169,4)</f>
        <v>4063</v>
      </c>
      <c r="AD169" s="3" t="s">
        <v>1199</v>
      </c>
      <c r="AE169" s="3" t="str">
        <f t="shared" si="47"/>
        <v>479</v>
      </c>
    </row>
    <row r="170" spans="1:31">
      <c r="A170" t="s">
        <v>1200</v>
      </c>
      <c r="B170" t="str">
        <f t="shared" si="33"/>
        <v>Xavier</v>
      </c>
      <c r="C170" t="s">
        <v>58</v>
      </c>
      <c r="D170" t="s">
        <v>410</v>
      </c>
      <c r="E170" t="str">
        <f t="shared" si="34"/>
        <v>Brown</v>
      </c>
      <c r="F170" t="str">
        <f t="shared" si="35"/>
        <v>XAVIERBROWN</v>
      </c>
      <c r="G170" t="str">
        <f t="shared" si="36"/>
        <v>XAVIERBROWN</v>
      </c>
      <c r="H170" t="str">
        <f t="shared" si="37"/>
        <v>XAV BROWN</v>
      </c>
      <c r="I170" t="str">
        <f t="shared" si="38"/>
        <v>XAV.B</v>
      </c>
      <c r="J170" t="s">
        <v>42</v>
      </c>
      <c r="K170" t="s">
        <v>1201</v>
      </c>
      <c r="L170" t="s">
        <v>1202</v>
      </c>
      <c r="M170" t="s">
        <v>516</v>
      </c>
      <c r="N170">
        <v>47223</v>
      </c>
      <c r="O170" t="str">
        <f t="shared" si="39"/>
        <v>47223</v>
      </c>
      <c r="P170" t="str">
        <f t="shared" si="32"/>
        <v>1993 Lucy Lane, Butlerville, IN, 47223</v>
      </c>
      <c r="Q170" t="s">
        <v>1203</v>
      </c>
      <c r="R170" t="str">
        <f t="shared" si="40"/>
        <v>XavierMBrown</v>
      </c>
      <c r="S170" t="str">
        <f t="shared" si="41"/>
        <v>hotmail.com</v>
      </c>
      <c r="T170" t="str">
        <f t="shared" si="42"/>
        <v>hotmail</v>
      </c>
      <c r="U170" t="str">
        <f t="shared" si="43"/>
        <v>XavierMBrown</v>
      </c>
      <c r="V170" t="s">
        <v>1204</v>
      </c>
      <c r="W170" t="str">
        <f t="shared" si="44"/>
        <v>812-</v>
      </c>
      <c r="X170" t="str">
        <f t="shared" si="45"/>
        <v>458</v>
      </c>
      <c r="Y170" t="str">
        <f t="shared" si="46"/>
        <v>-6289</v>
      </c>
      <c r="Z170" t="str">
        <f>SUBSTITUTE(V170,"-","|",2)</f>
        <v>812-458|6289</v>
      </c>
      <c r="AA170" t="str">
        <f>LEFT(V170,3)</f>
        <v>812</v>
      </c>
      <c r="AB170" t="str">
        <f>MID(V170,5,3)</f>
        <v>458</v>
      </c>
      <c r="AC170" t="str">
        <f>RIGHT(V170,4)</f>
        <v>6289</v>
      </c>
      <c r="AD170" s="3" t="s">
        <v>1205</v>
      </c>
      <c r="AE170" s="3" t="str">
        <f t="shared" si="47"/>
        <v>9281</v>
      </c>
    </row>
    <row r="171" spans="1:31">
      <c r="A171" t="s">
        <v>1206</v>
      </c>
      <c r="B171" t="str">
        <f t="shared" si="33"/>
        <v>Kathy</v>
      </c>
      <c r="C171" t="s">
        <v>132</v>
      </c>
      <c r="D171" t="s">
        <v>1207</v>
      </c>
      <c r="E171" t="str">
        <f t="shared" si="34"/>
        <v>Hutto</v>
      </c>
      <c r="F171" t="str">
        <f t="shared" si="35"/>
        <v>KATHYHUTTO</v>
      </c>
      <c r="G171" t="str">
        <f t="shared" si="36"/>
        <v>KATHYHUTTO</v>
      </c>
      <c r="H171" t="str">
        <f t="shared" si="37"/>
        <v>KAT HUTTO</v>
      </c>
      <c r="I171" t="str">
        <f t="shared" si="38"/>
        <v>KAT.H</v>
      </c>
      <c r="J171" t="s">
        <v>32</v>
      </c>
      <c r="K171" t="s">
        <v>1208</v>
      </c>
      <c r="L171" t="s">
        <v>1209</v>
      </c>
      <c r="M171" t="s">
        <v>200</v>
      </c>
      <c r="N171">
        <v>33169</v>
      </c>
      <c r="O171" t="str">
        <f t="shared" si="39"/>
        <v>33169</v>
      </c>
      <c r="P171" t="str">
        <f t="shared" si="32"/>
        <v>4029 Everette Alley, Miami, FL, 33169</v>
      </c>
      <c r="Q171" t="s">
        <v>1210</v>
      </c>
      <c r="R171" t="str">
        <f t="shared" si="40"/>
        <v>KathyRHutto</v>
      </c>
      <c r="S171" t="str">
        <f t="shared" si="41"/>
        <v>aol.com</v>
      </c>
      <c r="T171" t="str">
        <f t="shared" si="42"/>
        <v>aol</v>
      </c>
      <c r="U171" t="str">
        <f t="shared" si="43"/>
        <v>KathyRHutto</v>
      </c>
      <c r="V171" t="s">
        <v>1211</v>
      </c>
      <c r="W171" t="str">
        <f t="shared" si="44"/>
        <v>954-</v>
      </c>
      <c r="X171" t="str">
        <f t="shared" si="45"/>
        <v>738</v>
      </c>
      <c r="Y171" t="str">
        <f t="shared" si="46"/>
        <v>-6457</v>
      </c>
      <c r="Z171" t="str">
        <f>SUBSTITUTE(V171,"-","|",2)</f>
        <v>954-738|6457</v>
      </c>
      <c r="AA171" t="str">
        <f>LEFT(V171,3)</f>
        <v>954</v>
      </c>
      <c r="AB171" t="str">
        <f>MID(V171,5,3)</f>
        <v>738</v>
      </c>
      <c r="AC171" t="str">
        <f>RIGHT(V171,4)</f>
        <v>6457</v>
      </c>
      <c r="AD171" s="3" t="s">
        <v>1212</v>
      </c>
      <c r="AE171" s="3" t="str">
        <f t="shared" si="47"/>
        <v>265</v>
      </c>
    </row>
    <row r="172" spans="1:31">
      <c r="A172" t="s">
        <v>1213</v>
      </c>
      <c r="B172" t="str">
        <f t="shared" si="33"/>
        <v>Evelyne</v>
      </c>
      <c r="C172" t="s">
        <v>141</v>
      </c>
      <c r="D172" t="s">
        <v>431</v>
      </c>
      <c r="E172" t="str">
        <f t="shared" si="34"/>
        <v>Williams</v>
      </c>
      <c r="F172" t="str">
        <f t="shared" si="35"/>
        <v>EVELYNEWILLIAMS</v>
      </c>
      <c r="G172" t="str">
        <f t="shared" si="36"/>
        <v>EVELYNEWILLIAMS</v>
      </c>
      <c r="H172" t="str">
        <f t="shared" si="37"/>
        <v>EVE WILLIAMS</v>
      </c>
      <c r="I172" t="str">
        <f t="shared" si="38"/>
        <v>EVE.W</v>
      </c>
      <c r="J172" t="s">
        <v>32</v>
      </c>
      <c r="K172" t="s">
        <v>1214</v>
      </c>
      <c r="L172" t="s">
        <v>440</v>
      </c>
      <c r="M172" t="s">
        <v>441</v>
      </c>
      <c r="N172">
        <v>80209</v>
      </c>
      <c r="O172" t="str">
        <f t="shared" si="39"/>
        <v>80209</v>
      </c>
      <c r="P172" t="str">
        <f t="shared" si="32"/>
        <v>4459 McKinley Avenue, Denver, CO, 80209</v>
      </c>
      <c r="Q172" t="s">
        <v>1215</v>
      </c>
      <c r="R172" t="str">
        <f t="shared" si="40"/>
        <v>EvelyneEWilliams</v>
      </c>
      <c r="S172" t="str">
        <f t="shared" si="41"/>
        <v>aol.com</v>
      </c>
      <c r="T172" t="str">
        <f t="shared" si="42"/>
        <v>aol</v>
      </c>
      <c r="U172" t="str">
        <f t="shared" si="43"/>
        <v>EvelyneEWilliams</v>
      </c>
      <c r="V172" t="s">
        <v>1216</v>
      </c>
      <c r="W172" t="str">
        <f t="shared" si="44"/>
        <v>303-</v>
      </c>
      <c r="X172" t="str">
        <f t="shared" si="45"/>
        <v>765</v>
      </c>
      <c r="Y172" t="str">
        <f t="shared" si="46"/>
        <v>-8535</v>
      </c>
      <c r="Z172" t="str">
        <f>SUBSTITUTE(V172,"-","|",2)</f>
        <v>303-765|8535</v>
      </c>
      <c r="AA172" t="str">
        <f>LEFT(V172,3)</f>
        <v>303</v>
      </c>
      <c r="AB172" t="str">
        <f>MID(V172,5,3)</f>
        <v>765</v>
      </c>
      <c r="AC172" t="str">
        <f>RIGHT(V172,4)</f>
        <v>8535</v>
      </c>
      <c r="AD172" s="3" t="s">
        <v>1217</v>
      </c>
      <c r="AE172" s="3" t="str">
        <f t="shared" si="47"/>
        <v>704</v>
      </c>
    </row>
    <row r="173" spans="1:31">
      <c r="A173" t="s">
        <v>471</v>
      </c>
      <c r="B173" t="str">
        <f t="shared" si="33"/>
        <v>David</v>
      </c>
      <c r="C173" t="s">
        <v>58</v>
      </c>
      <c r="D173" t="s">
        <v>1218</v>
      </c>
      <c r="E173" t="str">
        <f t="shared" si="34"/>
        <v>Walters</v>
      </c>
      <c r="F173" t="str">
        <f t="shared" si="35"/>
        <v>DAVIDWALTERS</v>
      </c>
      <c r="G173" t="str">
        <f t="shared" si="36"/>
        <v>DAVIDWALTERS</v>
      </c>
      <c r="H173" t="str">
        <f t="shared" si="37"/>
        <v>DAV WALTERS</v>
      </c>
      <c r="I173" t="str">
        <f t="shared" si="38"/>
        <v>DAV.W</v>
      </c>
      <c r="J173" t="s">
        <v>42</v>
      </c>
      <c r="K173" t="s">
        <v>1219</v>
      </c>
      <c r="L173" t="s">
        <v>1220</v>
      </c>
      <c r="M173" t="s">
        <v>153</v>
      </c>
      <c r="N173">
        <v>54484</v>
      </c>
      <c r="O173" t="str">
        <f t="shared" si="39"/>
        <v>54484</v>
      </c>
      <c r="P173" t="str">
        <f t="shared" si="32"/>
        <v>3762 Abner Road, Stratford, WI, 54484</v>
      </c>
      <c r="Q173" t="s">
        <v>1221</v>
      </c>
      <c r="R173" t="str">
        <f t="shared" si="40"/>
        <v>DavidMWalters</v>
      </c>
      <c r="S173" t="str">
        <f t="shared" si="41"/>
        <v>aol.com</v>
      </c>
      <c r="T173" t="str">
        <f t="shared" si="42"/>
        <v>aol</v>
      </c>
      <c r="U173" t="str">
        <f t="shared" si="43"/>
        <v>DavidMWalters</v>
      </c>
      <c r="V173" t="s">
        <v>1222</v>
      </c>
      <c r="W173" t="str">
        <f t="shared" si="44"/>
        <v>715-</v>
      </c>
      <c r="X173" t="str">
        <f t="shared" si="45"/>
        <v>391</v>
      </c>
      <c r="Y173" t="str">
        <f t="shared" si="46"/>
        <v>-1204</v>
      </c>
      <c r="Z173" t="str">
        <f>SUBSTITUTE(V173,"-","|",2)</f>
        <v>715-391|1204</v>
      </c>
      <c r="AA173" t="str">
        <f>LEFT(V173,3)</f>
        <v>715</v>
      </c>
      <c r="AB173" t="str">
        <f>MID(V173,5,3)</f>
        <v>391</v>
      </c>
      <c r="AC173" t="str">
        <f>RIGHT(V173,4)</f>
        <v>1204</v>
      </c>
      <c r="AD173" s="3" t="s">
        <v>1223</v>
      </c>
      <c r="AE173" s="3" t="str">
        <f t="shared" si="47"/>
        <v>400</v>
      </c>
    </row>
    <row r="174" spans="1:31">
      <c r="A174" t="s">
        <v>1224</v>
      </c>
      <c r="B174" t="str">
        <f t="shared" si="33"/>
        <v>Rosemary</v>
      </c>
      <c r="C174" t="s">
        <v>30</v>
      </c>
      <c r="D174" t="s">
        <v>1225</v>
      </c>
      <c r="E174" t="str">
        <f t="shared" si="34"/>
        <v>Quinn</v>
      </c>
      <c r="F174" t="str">
        <f t="shared" si="35"/>
        <v>ROSEMARYQUINN</v>
      </c>
      <c r="G174" t="str">
        <f t="shared" si="36"/>
        <v>ROSEMARYQUINN</v>
      </c>
      <c r="H174" t="str">
        <f t="shared" si="37"/>
        <v>ROS QUINN</v>
      </c>
      <c r="I174" t="str">
        <f t="shared" si="38"/>
        <v>ROS.Q</v>
      </c>
      <c r="J174" t="s">
        <v>32</v>
      </c>
      <c r="K174" t="s">
        <v>1226</v>
      </c>
      <c r="L174" t="s">
        <v>1227</v>
      </c>
      <c r="M174" t="s">
        <v>45</v>
      </c>
      <c r="N174">
        <v>90670</v>
      </c>
      <c r="O174" t="str">
        <f t="shared" si="39"/>
        <v>90670</v>
      </c>
      <c r="P174" t="str">
        <f t="shared" si="32"/>
        <v>4743 Felosa Drive, Santa Fe Springs, CA, 90670</v>
      </c>
      <c r="Q174" t="s">
        <v>1228</v>
      </c>
      <c r="R174" t="str">
        <f t="shared" si="40"/>
        <v>RosemaryJQuinn</v>
      </c>
      <c r="S174" t="str">
        <f t="shared" si="41"/>
        <v>gmail.com</v>
      </c>
      <c r="T174" t="str">
        <f t="shared" si="42"/>
        <v>gmail</v>
      </c>
      <c r="U174" t="str">
        <f t="shared" si="43"/>
        <v>RosemaryJQuinn</v>
      </c>
      <c r="V174" t="s">
        <v>1229</v>
      </c>
      <c r="W174" t="str">
        <f t="shared" si="44"/>
        <v>323-</v>
      </c>
      <c r="X174" t="str">
        <f t="shared" si="45"/>
        <v>972</v>
      </c>
      <c r="Y174" t="str">
        <f t="shared" si="46"/>
        <v>-5350</v>
      </c>
      <c r="Z174" t="str">
        <f>SUBSTITUTE(V174,"-","|",2)</f>
        <v>323-972|5350</v>
      </c>
      <c r="AA174" t="str">
        <f>LEFT(V174,3)</f>
        <v>323</v>
      </c>
      <c r="AB174" t="str">
        <f>MID(V174,5,3)</f>
        <v>972</v>
      </c>
      <c r="AC174" t="str">
        <f>RIGHT(V174,4)</f>
        <v>5350</v>
      </c>
      <c r="AD174" s="3" t="s">
        <v>1230</v>
      </c>
      <c r="AE174" s="3" t="str">
        <f t="shared" si="47"/>
        <v>2225</v>
      </c>
    </row>
    <row r="175" spans="1:31">
      <c r="A175" t="s">
        <v>1231</v>
      </c>
      <c r="B175" t="str">
        <f t="shared" si="33"/>
        <v>Lupe</v>
      </c>
      <c r="C175" t="s">
        <v>84</v>
      </c>
      <c r="D175" t="s">
        <v>1232</v>
      </c>
      <c r="E175" t="str">
        <f t="shared" si="34"/>
        <v>Heath</v>
      </c>
      <c r="F175" t="str">
        <f t="shared" si="35"/>
        <v>LUPEHEATH</v>
      </c>
      <c r="G175" t="str">
        <f t="shared" si="36"/>
        <v>LUPEHEATH</v>
      </c>
      <c r="H175" t="str">
        <f t="shared" si="37"/>
        <v>LUP HEATH</v>
      </c>
      <c r="I175" t="str">
        <f t="shared" si="38"/>
        <v>LUP.H</v>
      </c>
      <c r="J175" t="s">
        <v>32</v>
      </c>
      <c r="K175" t="s">
        <v>1233</v>
      </c>
      <c r="L175" t="s">
        <v>1234</v>
      </c>
      <c r="M175" t="s">
        <v>161</v>
      </c>
      <c r="N175">
        <v>48185</v>
      </c>
      <c r="O175" t="str">
        <f t="shared" si="39"/>
        <v>48185</v>
      </c>
      <c r="P175" t="str">
        <f t="shared" si="32"/>
        <v>4758 Cunningham Court, Westland, MI, 48185</v>
      </c>
      <c r="Q175" t="s">
        <v>1235</v>
      </c>
      <c r="R175" t="str">
        <f t="shared" si="40"/>
        <v>LupeKHeath</v>
      </c>
      <c r="S175" t="str">
        <f t="shared" si="41"/>
        <v>hotmail.com</v>
      </c>
      <c r="T175" t="str">
        <f t="shared" si="42"/>
        <v>hotmail</v>
      </c>
      <c r="U175" t="str">
        <f t="shared" si="43"/>
        <v>LupeKHeath</v>
      </c>
      <c r="V175" t="s">
        <v>1236</v>
      </c>
      <c r="W175" t="str">
        <f t="shared" si="44"/>
        <v>248-</v>
      </c>
      <c r="X175" t="str">
        <f t="shared" si="45"/>
        <v>670</v>
      </c>
      <c r="Y175" t="str">
        <f t="shared" si="46"/>
        <v>-1284</v>
      </c>
      <c r="Z175" t="str">
        <f>SUBSTITUTE(V175,"-","|",2)</f>
        <v>248-670|1284</v>
      </c>
      <c r="AA175" t="str">
        <f>LEFT(V175,3)</f>
        <v>248</v>
      </c>
      <c r="AB175" t="str">
        <f>MID(V175,5,3)</f>
        <v>670</v>
      </c>
      <c r="AC175" t="str">
        <f>RIGHT(V175,4)</f>
        <v>1284</v>
      </c>
      <c r="AD175" s="3" t="s">
        <v>1237</v>
      </c>
      <c r="AE175" s="3" t="str">
        <f t="shared" si="47"/>
        <v>822</v>
      </c>
    </row>
    <row r="176" spans="1:31">
      <c r="A176" t="s">
        <v>1238</v>
      </c>
      <c r="B176" t="str">
        <f t="shared" si="33"/>
        <v>Danielle</v>
      </c>
      <c r="C176" t="s">
        <v>297</v>
      </c>
      <c r="D176" t="s">
        <v>1239</v>
      </c>
      <c r="E176" t="str">
        <f t="shared" si="34"/>
        <v>Palmer</v>
      </c>
      <c r="F176" t="str">
        <f t="shared" si="35"/>
        <v>DANIELLEPALMER</v>
      </c>
      <c r="G176" t="str">
        <f t="shared" si="36"/>
        <v>DANIELLEPALMER</v>
      </c>
      <c r="H176" t="str">
        <f t="shared" si="37"/>
        <v>DAN PALMER</v>
      </c>
      <c r="I176" t="str">
        <f t="shared" si="38"/>
        <v>DAN.P</v>
      </c>
      <c r="J176" t="s">
        <v>32</v>
      </c>
      <c r="K176" t="s">
        <v>1240</v>
      </c>
      <c r="L176" t="s">
        <v>1241</v>
      </c>
      <c r="M176" t="s">
        <v>538</v>
      </c>
      <c r="N176">
        <v>19462</v>
      </c>
      <c r="O176" t="str">
        <f t="shared" si="39"/>
        <v>19462</v>
      </c>
      <c r="P176" t="str">
        <f t="shared" si="32"/>
        <v>398 Valley Drive, Plymouth Meeting, PA, 19462</v>
      </c>
      <c r="Q176" t="s">
        <v>1242</v>
      </c>
      <c r="R176" t="str">
        <f t="shared" si="40"/>
        <v>DanielleTPalmer</v>
      </c>
      <c r="S176" t="str">
        <f t="shared" si="41"/>
        <v>hotmail.com</v>
      </c>
      <c r="T176" t="str">
        <f t="shared" si="42"/>
        <v>hotmail</v>
      </c>
      <c r="U176" t="str">
        <f t="shared" si="43"/>
        <v>DanielleTPalmer</v>
      </c>
      <c r="V176" t="s">
        <v>1243</v>
      </c>
      <c r="W176" t="str">
        <f t="shared" si="44"/>
        <v>267-</v>
      </c>
      <c r="X176" t="str">
        <f t="shared" si="45"/>
        <v>374</v>
      </c>
      <c r="Y176" t="str">
        <f t="shared" si="46"/>
        <v>-3082</v>
      </c>
      <c r="Z176" t="str">
        <f>SUBSTITUTE(V176,"-","|",2)</f>
        <v>267-374|3082</v>
      </c>
      <c r="AA176" t="str">
        <f>LEFT(V176,3)</f>
        <v>267</v>
      </c>
      <c r="AB176" t="str">
        <f>MID(V176,5,3)</f>
        <v>374</v>
      </c>
      <c r="AC176" t="str">
        <f>RIGHT(V176,4)</f>
        <v>3082</v>
      </c>
      <c r="AD176" s="3" t="s">
        <v>1244</v>
      </c>
      <c r="AE176" s="3" t="str">
        <f t="shared" si="47"/>
        <v>5648</v>
      </c>
    </row>
    <row r="177" spans="1:31">
      <c r="A177" t="s">
        <v>1126</v>
      </c>
      <c r="B177" t="str">
        <f t="shared" si="33"/>
        <v>Leslie</v>
      </c>
      <c r="C177" t="s">
        <v>149</v>
      </c>
      <c r="D177" t="s">
        <v>1245</v>
      </c>
      <c r="E177" t="str">
        <f t="shared" si="34"/>
        <v>Whitaker</v>
      </c>
      <c r="F177" t="str">
        <f t="shared" si="35"/>
        <v>LESLIEWHITAKER</v>
      </c>
      <c r="G177" t="str">
        <f t="shared" si="36"/>
        <v>LESLIEWHITAKER</v>
      </c>
      <c r="H177" t="str">
        <f t="shared" si="37"/>
        <v>LES WHITAKER</v>
      </c>
      <c r="I177" t="str">
        <f t="shared" si="38"/>
        <v>LES.W</v>
      </c>
      <c r="J177" t="s">
        <v>32</v>
      </c>
      <c r="K177" t="s">
        <v>1246</v>
      </c>
      <c r="L177" t="s">
        <v>1247</v>
      </c>
      <c r="M177" t="s">
        <v>225</v>
      </c>
      <c r="N177">
        <v>25921</v>
      </c>
      <c r="O177" t="str">
        <f t="shared" si="39"/>
        <v>25921</v>
      </c>
      <c r="P177" t="str">
        <f t="shared" si="32"/>
        <v>673 Hall Valley Drive, Sophia, WV, 25921</v>
      </c>
      <c r="Q177" t="s">
        <v>1248</v>
      </c>
      <c r="R177" t="str">
        <f t="shared" si="40"/>
        <v>LesliePWhitaker</v>
      </c>
      <c r="S177" t="str">
        <f t="shared" si="41"/>
        <v>hotmail.com</v>
      </c>
      <c r="T177" t="str">
        <f t="shared" si="42"/>
        <v>hotmail</v>
      </c>
      <c r="U177" t="str">
        <f t="shared" si="43"/>
        <v>LesliePWhitaker</v>
      </c>
      <c r="V177" t="s">
        <v>1249</v>
      </c>
      <c r="W177" t="str">
        <f t="shared" si="44"/>
        <v>304-</v>
      </c>
      <c r="X177" t="str">
        <f t="shared" si="45"/>
        <v>683</v>
      </c>
      <c r="Y177" t="str">
        <f t="shared" si="46"/>
        <v>-1108</v>
      </c>
      <c r="Z177" t="str">
        <f>SUBSTITUTE(V177,"-","|",2)</f>
        <v>304-683|1108</v>
      </c>
      <c r="AA177" t="str">
        <f>LEFT(V177,3)</f>
        <v>304</v>
      </c>
      <c r="AB177" t="str">
        <f>MID(V177,5,3)</f>
        <v>683</v>
      </c>
      <c r="AC177" t="str">
        <f>RIGHT(V177,4)</f>
        <v>1108</v>
      </c>
      <c r="AD177" s="3" t="s">
        <v>1250</v>
      </c>
      <c r="AE177" s="3" t="str">
        <f t="shared" si="47"/>
        <v>570</v>
      </c>
    </row>
    <row r="178" spans="1:31">
      <c r="A178" t="s">
        <v>1251</v>
      </c>
      <c r="B178" t="str">
        <f t="shared" si="33"/>
        <v>Terrance</v>
      </c>
      <c r="C178" t="s">
        <v>270</v>
      </c>
      <c r="D178" t="s">
        <v>535</v>
      </c>
      <c r="E178" t="str">
        <f t="shared" si="34"/>
        <v>Johnson</v>
      </c>
      <c r="F178" t="str">
        <f t="shared" si="35"/>
        <v>TERRANCEJOHNSON</v>
      </c>
      <c r="G178" t="str">
        <f t="shared" si="36"/>
        <v>TERRANCEJOHNSON</v>
      </c>
      <c r="H178" t="str">
        <f t="shared" si="37"/>
        <v>TER JOHNSON</v>
      </c>
      <c r="I178" t="str">
        <f t="shared" si="38"/>
        <v>TER.J</v>
      </c>
      <c r="J178" t="s">
        <v>42</v>
      </c>
      <c r="K178" t="s">
        <v>1252</v>
      </c>
      <c r="L178" t="s">
        <v>1253</v>
      </c>
      <c r="M178" t="s">
        <v>35</v>
      </c>
      <c r="N178">
        <v>60090</v>
      </c>
      <c r="O178" t="str">
        <f t="shared" si="39"/>
        <v>60090</v>
      </c>
      <c r="P178" t="str">
        <f t="shared" si="32"/>
        <v>1346 Pinewood Drive, Wheeling, IL, 60090</v>
      </c>
      <c r="Q178" t="s">
        <v>1254</v>
      </c>
      <c r="R178" t="str">
        <f t="shared" si="40"/>
        <v>TerranceVJohnson</v>
      </c>
      <c r="S178" t="str">
        <f t="shared" si="41"/>
        <v>hotmail.com</v>
      </c>
      <c r="T178" t="str">
        <f t="shared" si="42"/>
        <v>hotmail</v>
      </c>
      <c r="U178" t="str">
        <f t="shared" si="43"/>
        <v>TerranceVJohnson</v>
      </c>
      <c r="V178" t="s">
        <v>1255</v>
      </c>
      <c r="W178" t="str">
        <f t="shared" si="44"/>
        <v>847-</v>
      </c>
      <c r="X178" t="str">
        <f t="shared" si="45"/>
        <v>861</v>
      </c>
      <c r="Y178" t="str">
        <f t="shared" si="46"/>
        <v>-0967</v>
      </c>
      <c r="Z178" t="str">
        <f>SUBSTITUTE(V178,"-","|",2)</f>
        <v>847-861|0967</v>
      </c>
      <c r="AA178" t="str">
        <f>LEFT(V178,3)</f>
        <v>847</v>
      </c>
      <c r="AB178" t="str">
        <f>MID(V178,5,3)</f>
        <v>861</v>
      </c>
      <c r="AC178" t="str">
        <f>RIGHT(V178,4)</f>
        <v>0967</v>
      </c>
      <c r="AD178" s="3" t="s">
        <v>1256</v>
      </c>
      <c r="AE178" s="3" t="str">
        <f t="shared" si="47"/>
        <v>753</v>
      </c>
    </row>
    <row r="179" spans="1:31">
      <c r="A179" t="s">
        <v>1257</v>
      </c>
      <c r="B179" t="str">
        <f t="shared" si="33"/>
        <v>Jesse</v>
      </c>
      <c r="C179" t="s">
        <v>30</v>
      </c>
      <c r="D179" t="s">
        <v>1258</v>
      </c>
      <c r="E179" t="str">
        <f t="shared" si="34"/>
        <v>Catlin</v>
      </c>
      <c r="F179" t="str">
        <f t="shared" si="35"/>
        <v>JESSECATLIN</v>
      </c>
      <c r="G179" t="str">
        <f t="shared" si="36"/>
        <v>JESSECATLIN</v>
      </c>
      <c r="H179" t="str">
        <f t="shared" si="37"/>
        <v>JES CATLIN</v>
      </c>
      <c r="I179" t="str">
        <f t="shared" si="38"/>
        <v>JES.C</v>
      </c>
      <c r="J179" t="s">
        <v>42</v>
      </c>
      <c r="K179" t="s">
        <v>1259</v>
      </c>
      <c r="L179" t="s">
        <v>78</v>
      </c>
      <c r="M179" t="s">
        <v>538</v>
      </c>
      <c r="N179">
        <v>97205</v>
      </c>
      <c r="O179" t="str">
        <f t="shared" si="39"/>
        <v>97205</v>
      </c>
      <c r="P179" t="str">
        <f t="shared" si="32"/>
        <v>1291 Pheasant Ridge Road, Portland, PA, 97205</v>
      </c>
      <c r="Q179" t="s">
        <v>1260</v>
      </c>
      <c r="R179" t="str">
        <f t="shared" si="40"/>
        <v>JesseJCatlin</v>
      </c>
      <c r="S179" t="str">
        <f t="shared" si="41"/>
        <v>aol.com</v>
      </c>
      <c r="T179" t="str">
        <f t="shared" si="42"/>
        <v>aol</v>
      </c>
      <c r="U179" t="str">
        <f t="shared" si="43"/>
        <v>JesseJCatlin</v>
      </c>
      <c r="V179" t="s">
        <v>1261</v>
      </c>
      <c r="W179" t="str">
        <f t="shared" si="44"/>
        <v>215-</v>
      </c>
      <c r="X179" t="str">
        <f t="shared" si="45"/>
        <v>525</v>
      </c>
      <c r="Y179" t="str">
        <f t="shared" si="46"/>
        <v>-3830</v>
      </c>
      <c r="Z179" t="str">
        <f>SUBSTITUTE(V179,"-","|",2)</f>
        <v>215-525|3830</v>
      </c>
      <c r="AA179" t="str">
        <f>LEFT(V179,3)</f>
        <v>215</v>
      </c>
      <c r="AB179" t="str">
        <f>MID(V179,5,3)</f>
        <v>525</v>
      </c>
      <c r="AC179" t="str">
        <f>RIGHT(V179,4)</f>
        <v>3830</v>
      </c>
      <c r="AD179" s="3" t="s">
        <v>1262</v>
      </c>
      <c r="AE179" s="3" t="str">
        <f t="shared" si="47"/>
        <v>6361</v>
      </c>
    </row>
    <row r="180" spans="1:31">
      <c r="A180" t="s">
        <v>1090</v>
      </c>
      <c r="B180" t="str">
        <f t="shared" si="33"/>
        <v>Maria</v>
      </c>
      <c r="C180" t="s">
        <v>213</v>
      </c>
      <c r="D180" t="s">
        <v>1263</v>
      </c>
      <c r="E180" t="str">
        <f t="shared" si="34"/>
        <v>Kinsley</v>
      </c>
      <c r="F180" t="str">
        <f t="shared" si="35"/>
        <v>MARIAKINSLEY</v>
      </c>
      <c r="G180" t="str">
        <f t="shared" si="36"/>
        <v>MARIAKINSLEY</v>
      </c>
      <c r="H180" t="str">
        <f t="shared" si="37"/>
        <v>MAR KINSLEY</v>
      </c>
      <c r="I180" t="str">
        <f t="shared" si="38"/>
        <v>MAR.K</v>
      </c>
      <c r="J180" t="s">
        <v>32</v>
      </c>
      <c r="K180" t="s">
        <v>1264</v>
      </c>
      <c r="L180" t="s">
        <v>1265</v>
      </c>
      <c r="M180" t="s">
        <v>88</v>
      </c>
      <c r="N180">
        <v>76357</v>
      </c>
      <c r="O180" t="str">
        <f t="shared" si="39"/>
        <v>76357</v>
      </c>
      <c r="P180" t="str">
        <f t="shared" si="32"/>
        <v>4699 Alexander Drive, Byers, TX, 76357</v>
      </c>
      <c r="Q180" t="s">
        <v>1266</v>
      </c>
      <c r="R180" t="str">
        <f t="shared" si="40"/>
        <v>MariaAKinsley</v>
      </c>
      <c r="S180" t="str">
        <f t="shared" si="41"/>
        <v>gmail.com</v>
      </c>
      <c r="T180" t="str">
        <f t="shared" si="42"/>
        <v>gmail</v>
      </c>
      <c r="U180" t="str">
        <f t="shared" si="43"/>
        <v>MariaAKinsley</v>
      </c>
      <c r="V180" t="s">
        <v>1267</v>
      </c>
      <c r="W180" t="str">
        <f t="shared" si="44"/>
        <v>940-</v>
      </c>
      <c r="X180" t="str">
        <f t="shared" si="45"/>
        <v>529</v>
      </c>
      <c r="Y180" t="str">
        <f t="shared" si="46"/>
        <v>-0323</v>
      </c>
      <c r="Z180" t="str">
        <f>SUBSTITUTE(V180,"-","|",2)</f>
        <v>940-529|0323</v>
      </c>
      <c r="AA180" t="str">
        <f>LEFT(V180,3)</f>
        <v>940</v>
      </c>
      <c r="AB180" t="str">
        <f>MID(V180,5,3)</f>
        <v>529</v>
      </c>
      <c r="AC180" t="str">
        <f>RIGHT(V180,4)</f>
        <v>0323</v>
      </c>
      <c r="AD180" s="3" t="s">
        <v>1268</v>
      </c>
      <c r="AE180" s="3" t="str">
        <f t="shared" si="47"/>
        <v>660</v>
      </c>
    </row>
    <row r="181" spans="1:31">
      <c r="A181" t="s">
        <v>1269</v>
      </c>
      <c r="B181" t="str">
        <f t="shared" si="33"/>
        <v>William</v>
      </c>
      <c r="C181" t="s">
        <v>166</v>
      </c>
      <c r="D181" t="s">
        <v>1270</v>
      </c>
      <c r="E181" t="str">
        <f t="shared" si="34"/>
        <v>Potts</v>
      </c>
      <c r="F181" t="str">
        <f t="shared" si="35"/>
        <v>WILLIAMPOTTS</v>
      </c>
      <c r="G181" t="str">
        <f t="shared" si="36"/>
        <v>WILLIAMPOTTS</v>
      </c>
      <c r="H181" t="str">
        <f t="shared" si="37"/>
        <v>WIL POTTS</v>
      </c>
      <c r="I181" t="str">
        <f t="shared" si="38"/>
        <v>WIL.P</v>
      </c>
      <c r="J181" t="s">
        <v>42</v>
      </c>
      <c r="K181" t="s">
        <v>1271</v>
      </c>
      <c r="L181" t="s">
        <v>1272</v>
      </c>
      <c r="M181" t="s">
        <v>62</v>
      </c>
      <c r="N181">
        <v>23222</v>
      </c>
      <c r="O181" t="str">
        <f t="shared" si="39"/>
        <v>23222</v>
      </c>
      <c r="P181" t="str">
        <f t="shared" si="32"/>
        <v>511 Fleming Way, Richmond, VA, 23222</v>
      </c>
      <c r="Q181" t="s">
        <v>1273</v>
      </c>
      <c r="R181" t="str">
        <f t="shared" si="40"/>
        <v>WilliamBPotts</v>
      </c>
      <c r="S181" t="str">
        <f t="shared" si="41"/>
        <v>gmail.com</v>
      </c>
      <c r="T181" t="str">
        <f t="shared" si="42"/>
        <v>gmail</v>
      </c>
      <c r="U181" t="str">
        <f t="shared" si="43"/>
        <v>WilliamBPotts</v>
      </c>
      <c r="V181" t="s">
        <v>1274</v>
      </c>
      <c r="W181" t="str">
        <f t="shared" si="44"/>
        <v>804-</v>
      </c>
      <c r="X181" t="str">
        <f t="shared" si="45"/>
        <v>724</v>
      </c>
      <c r="Y181" t="str">
        <f t="shared" si="46"/>
        <v>-5205</v>
      </c>
      <c r="Z181" t="str">
        <f>SUBSTITUTE(V181,"-","|",2)</f>
        <v>804-724|5205</v>
      </c>
      <c r="AA181" t="str">
        <f>LEFT(V181,3)</f>
        <v>804</v>
      </c>
      <c r="AB181" t="str">
        <f>MID(V181,5,3)</f>
        <v>724</v>
      </c>
      <c r="AC181" t="str">
        <f>RIGHT(V181,4)</f>
        <v>5205</v>
      </c>
      <c r="AD181" s="3" t="s">
        <v>1275</v>
      </c>
      <c r="AE181" s="3" t="str">
        <f t="shared" si="47"/>
        <v>3726</v>
      </c>
    </row>
    <row r="182" spans="1:31">
      <c r="A182" t="s">
        <v>1238</v>
      </c>
      <c r="B182" t="str">
        <f t="shared" si="33"/>
        <v>Danielle</v>
      </c>
      <c r="C182" t="s">
        <v>116</v>
      </c>
      <c r="D182" t="s">
        <v>1276</v>
      </c>
      <c r="E182" t="str">
        <f t="shared" si="34"/>
        <v>Magnusson</v>
      </c>
      <c r="F182" t="str">
        <f t="shared" si="35"/>
        <v>DANIELLEMAGNUSSON</v>
      </c>
      <c r="G182" t="str">
        <f t="shared" si="36"/>
        <v>DANIELLEMAGNUSSON</v>
      </c>
      <c r="H182" t="str">
        <f t="shared" si="37"/>
        <v>DAN MAGNUSSON</v>
      </c>
      <c r="I182" t="str">
        <f t="shared" si="38"/>
        <v>DAN.M</v>
      </c>
      <c r="J182" t="s">
        <v>32</v>
      </c>
      <c r="K182" t="s">
        <v>1277</v>
      </c>
      <c r="L182" t="s">
        <v>1278</v>
      </c>
      <c r="M182" t="s">
        <v>45</v>
      </c>
      <c r="N182">
        <v>93440</v>
      </c>
      <c r="O182" t="str">
        <f t="shared" si="39"/>
        <v>93440</v>
      </c>
      <c r="P182" t="str">
        <f t="shared" si="32"/>
        <v>1592 Euclid Avenue, Los Alamos, CA, 93440</v>
      </c>
      <c r="Q182" t="s">
        <v>1279</v>
      </c>
      <c r="R182" t="str">
        <f t="shared" si="40"/>
        <v>DanielleHMagnusson</v>
      </c>
      <c r="S182" t="str">
        <f t="shared" si="41"/>
        <v>aol.com</v>
      </c>
      <c r="T182" t="str">
        <f t="shared" si="42"/>
        <v>aol</v>
      </c>
      <c r="U182" t="str">
        <f t="shared" si="43"/>
        <v>DanielleHMagnusson</v>
      </c>
      <c r="V182" t="s">
        <v>1280</v>
      </c>
      <c r="W182" t="str">
        <f t="shared" si="44"/>
        <v>805-</v>
      </c>
      <c r="X182" t="str">
        <f t="shared" si="45"/>
        <v>344</v>
      </c>
      <c r="Y182" t="str">
        <f t="shared" si="46"/>
        <v>-2705</v>
      </c>
      <c r="Z182" t="str">
        <f>SUBSTITUTE(V182,"-","|",2)</f>
        <v>805-344|2705</v>
      </c>
      <c r="AA182" t="str">
        <f>LEFT(V182,3)</f>
        <v>805</v>
      </c>
      <c r="AB182" t="str">
        <f>MID(V182,5,3)</f>
        <v>344</v>
      </c>
      <c r="AC182" t="str">
        <f>RIGHT(V182,4)</f>
        <v>2705</v>
      </c>
      <c r="AD182" s="3" t="s">
        <v>1281</v>
      </c>
      <c r="AE182" s="3" t="str">
        <f t="shared" si="47"/>
        <v>7249</v>
      </c>
    </row>
    <row r="183" spans="1:31">
      <c r="A183" t="s">
        <v>1030</v>
      </c>
      <c r="B183" t="str">
        <f t="shared" si="33"/>
        <v>Heidi</v>
      </c>
      <c r="C183" t="s">
        <v>132</v>
      </c>
      <c r="D183" t="s">
        <v>1282</v>
      </c>
      <c r="E183" t="str">
        <f t="shared" si="34"/>
        <v>Woody</v>
      </c>
      <c r="F183" t="str">
        <f t="shared" si="35"/>
        <v>HEIDIWOODY</v>
      </c>
      <c r="G183" t="str">
        <f t="shared" si="36"/>
        <v>HEIDIWOODY</v>
      </c>
      <c r="H183" t="str">
        <f t="shared" si="37"/>
        <v>HEI WOODY</v>
      </c>
      <c r="I183" t="str">
        <f t="shared" si="38"/>
        <v>HEI.W</v>
      </c>
      <c r="J183" t="s">
        <v>32</v>
      </c>
      <c r="K183" t="s">
        <v>1283</v>
      </c>
      <c r="L183" t="s">
        <v>1284</v>
      </c>
      <c r="M183" t="s">
        <v>538</v>
      </c>
      <c r="N183">
        <v>17019</v>
      </c>
      <c r="O183" t="str">
        <f t="shared" si="39"/>
        <v>17019</v>
      </c>
      <c r="P183" t="str">
        <f t="shared" si="32"/>
        <v>2927 Saint James Drive, Dillsburg, PA, 17019</v>
      </c>
      <c r="Q183" t="s">
        <v>1285</v>
      </c>
      <c r="R183" t="str">
        <f t="shared" si="40"/>
        <v>HeidiRWoody</v>
      </c>
      <c r="S183" t="str">
        <f t="shared" si="41"/>
        <v>aol.com</v>
      </c>
      <c r="T183" t="str">
        <f t="shared" si="42"/>
        <v>aol</v>
      </c>
      <c r="U183" t="str">
        <f t="shared" si="43"/>
        <v>HeidiRWoody</v>
      </c>
      <c r="V183" t="s">
        <v>1286</v>
      </c>
      <c r="W183" t="str">
        <f t="shared" si="44"/>
        <v>717-</v>
      </c>
      <c r="X183" t="str">
        <f t="shared" si="45"/>
        <v>502</v>
      </c>
      <c r="Y183" t="str">
        <f t="shared" si="46"/>
        <v>-2596</v>
      </c>
      <c r="Z183" t="str">
        <f>SUBSTITUTE(V183,"-","|",2)</f>
        <v>717-502|2596</v>
      </c>
      <c r="AA183" t="str">
        <f>LEFT(V183,3)</f>
        <v>717</v>
      </c>
      <c r="AB183" t="str">
        <f>MID(V183,5,3)</f>
        <v>502</v>
      </c>
      <c r="AC183" t="str">
        <f>RIGHT(V183,4)</f>
        <v>2596</v>
      </c>
      <c r="AD183" s="3" t="s">
        <v>1287</v>
      </c>
      <c r="AE183" s="3" t="str">
        <f t="shared" si="47"/>
        <v>389</v>
      </c>
    </row>
    <row r="184" spans="1:31">
      <c r="A184" t="s">
        <v>342</v>
      </c>
      <c r="B184" t="str">
        <f t="shared" si="33"/>
        <v>George</v>
      </c>
      <c r="C184" t="s">
        <v>213</v>
      </c>
      <c r="D184" t="s">
        <v>1288</v>
      </c>
      <c r="E184" t="str">
        <f t="shared" si="34"/>
        <v>Reynolds</v>
      </c>
      <c r="F184" t="str">
        <f t="shared" si="35"/>
        <v>GEORGEREYNOLDS</v>
      </c>
      <c r="G184" t="str">
        <f t="shared" si="36"/>
        <v>GEORGEREYNOLDS</v>
      </c>
      <c r="H184" t="str">
        <f t="shared" si="37"/>
        <v>GEO REYNOLDS</v>
      </c>
      <c r="I184" t="str">
        <f t="shared" si="38"/>
        <v>GEO.R</v>
      </c>
      <c r="J184" t="s">
        <v>42</v>
      </c>
      <c r="K184" t="s">
        <v>1289</v>
      </c>
      <c r="L184" t="s">
        <v>1290</v>
      </c>
      <c r="M184" t="s">
        <v>45</v>
      </c>
      <c r="N184">
        <v>93721</v>
      </c>
      <c r="O184" t="str">
        <f t="shared" si="39"/>
        <v>93721</v>
      </c>
      <c r="P184" t="str">
        <f t="shared" si="32"/>
        <v>342 Heritage Road, Fresno, CA, 93721</v>
      </c>
      <c r="Q184" t="s">
        <v>1291</v>
      </c>
      <c r="R184" t="str">
        <f t="shared" si="40"/>
        <v>GeorgeAReynolds</v>
      </c>
      <c r="S184" t="str">
        <f t="shared" si="41"/>
        <v>hotmail.com</v>
      </c>
      <c r="T184" t="str">
        <f t="shared" si="42"/>
        <v>hotmail</v>
      </c>
      <c r="U184" t="str">
        <f t="shared" si="43"/>
        <v>GeorgeAReynolds</v>
      </c>
      <c r="V184" t="s">
        <v>1292</v>
      </c>
      <c r="W184" t="str">
        <f t="shared" si="44"/>
        <v>559-</v>
      </c>
      <c r="X184" t="str">
        <f t="shared" si="45"/>
        <v>750</v>
      </c>
      <c r="Y184" t="str">
        <f t="shared" si="46"/>
        <v>-6863</v>
      </c>
      <c r="Z184" t="str">
        <f>SUBSTITUTE(V184,"-","|",2)</f>
        <v>559-750|6863</v>
      </c>
      <c r="AA184" t="str">
        <f>LEFT(V184,3)</f>
        <v>559</v>
      </c>
      <c r="AB184" t="str">
        <f>MID(V184,5,3)</f>
        <v>750</v>
      </c>
      <c r="AC184" t="str">
        <f>RIGHT(V184,4)</f>
        <v>6863</v>
      </c>
      <c r="AD184" s="3" t="s">
        <v>1293</v>
      </c>
      <c r="AE184" s="3" t="str">
        <f t="shared" si="47"/>
        <v>2623</v>
      </c>
    </row>
    <row r="185" spans="1:31">
      <c r="A185" t="s">
        <v>1294</v>
      </c>
      <c r="B185" t="str">
        <f t="shared" si="33"/>
        <v>Marlin</v>
      </c>
      <c r="C185" t="s">
        <v>124</v>
      </c>
      <c r="D185" t="s">
        <v>1295</v>
      </c>
      <c r="E185" t="str">
        <f t="shared" si="34"/>
        <v>Cambridge</v>
      </c>
      <c r="F185" t="str">
        <f t="shared" si="35"/>
        <v>MARLINCAMBRIDGE</v>
      </c>
      <c r="G185" t="str">
        <f t="shared" si="36"/>
        <v>MARLINCAMBRIDGE</v>
      </c>
      <c r="H185" t="str">
        <f t="shared" si="37"/>
        <v>MAR CAMBRIDGE</v>
      </c>
      <c r="I185" t="str">
        <f t="shared" si="38"/>
        <v>MAR.C</v>
      </c>
      <c r="J185" t="s">
        <v>42</v>
      </c>
      <c r="K185" t="s">
        <v>1296</v>
      </c>
      <c r="L185" t="s">
        <v>1297</v>
      </c>
      <c r="M185" t="s">
        <v>301</v>
      </c>
      <c r="N185">
        <v>43616</v>
      </c>
      <c r="O185" t="str">
        <f t="shared" si="39"/>
        <v>43616</v>
      </c>
      <c r="P185" t="str">
        <f t="shared" si="32"/>
        <v>4128 Still Street, Oregon, OH, 43616</v>
      </c>
      <c r="Q185" t="s">
        <v>1298</v>
      </c>
      <c r="R185" t="str">
        <f t="shared" si="40"/>
        <v>MarlinFCambridge</v>
      </c>
      <c r="S185" t="str">
        <f t="shared" si="41"/>
        <v>gmail.com</v>
      </c>
      <c r="T185" t="str">
        <f t="shared" si="42"/>
        <v>gmail</v>
      </c>
      <c r="U185" t="str">
        <f t="shared" si="43"/>
        <v>MarlinFCambridge</v>
      </c>
      <c r="V185" t="s">
        <v>1299</v>
      </c>
      <c r="W185" t="str">
        <f t="shared" si="44"/>
        <v>419-</v>
      </c>
      <c r="X185" t="str">
        <f t="shared" si="45"/>
        <v>696</v>
      </c>
      <c r="Y185" t="str">
        <f t="shared" si="46"/>
        <v>-7169</v>
      </c>
      <c r="Z185" t="str">
        <f>SUBSTITUTE(V185,"-","|",2)</f>
        <v>419-696|7169</v>
      </c>
      <c r="AA185" t="str">
        <f>LEFT(V185,3)</f>
        <v>419</v>
      </c>
      <c r="AB185" t="str">
        <f>MID(V185,5,3)</f>
        <v>696</v>
      </c>
      <c r="AC185" t="str">
        <f>RIGHT(V185,4)</f>
        <v>7169</v>
      </c>
      <c r="AD185" s="3" t="s">
        <v>1300</v>
      </c>
      <c r="AE185" s="3" t="str">
        <f t="shared" si="47"/>
        <v>2193</v>
      </c>
    </row>
    <row r="186" spans="1:31">
      <c r="A186" t="s">
        <v>1301</v>
      </c>
      <c r="B186" t="str">
        <f t="shared" si="33"/>
        <v>Lucy</v>
      </c>
      <c r="C186" t="s">
        <v>261</v>
      </c>
      <c r="D186" t="s">
        <v>1302</v>
      </c>
      <c r="E186" t="str">
        <f t="shared" si="34"/>
        <v>Murray</v>
      </c>
      <c r="F186" t="str">
        <f t="shared" si="35"/>
        <v>LUCYMURRAY</v>
      </c>
      <c r="G186" t="str">
        <f t="shared" si="36"/>
        <v>LUCYMURRAY</v>
      </c>
      <c r="H186" t="str">
        <f t="shared" si="37"/>
        <v>LUC MURRAY</v>
      </c>
      <c r="I186" t="str">
        <f t="shared" si="38"/>
        <v>LUC.M</v>
      </c>
      <c r="J186" t="s">
        <v>32</v>
      </c>
      <c r="K186" t="s">
        <v>1303</v>
      </c>
      <c r="L186" t="s">
        <v>440</v>
      </c>
      <c r="M186" t="s">
        <v>441</v>
      </c>
      <c r="N186">
        <v>80202</v>
      </c>
      <c r="O186" t="str">
        <f t="shared" si="39"/>
        <v>80202</v>
      </c>
      <c r="P186" t="str">
        <f t="shared" si="32"/>
        <v>4983 Clay Lick Road, Denver, CO, 80202</v>
      </c>
      <c r="Q186" t="s">
        <v>1304</v>
      </c>
      <c r="R186" t="str">
        <f t="shared" si="40"/>
        <v>LucyWMurray</v>
      </c>
      <c r="S186" t="str">
        <f t="shared" si="41"/>
        <v>hotmail.com</v>
      </c>
      <c r="T186" t="str">
        <f t="shared" si="42"/>
        <v>hotmail</v>
      </c>
      <c r="U186" t="str">
        <f t="shared" si="43"/>
        <v>LucyWMurray</v>
      </c>
      <c r="V186" t="s">
        <v>1305</v>
      </c>
      <c r="W186" t="str">
        <f t="shared" si="44"/>
        <v>720-</v>
      </c>
      <c r="X186" t="str">
        <f t="shared" si="45"/>
        <v>530</v>
      </c>
      <c r="Y186" t="str">
        <f t="shared" si="46"/>
        <v>-1785</v>
      </c>
      <c r="Z186" t="str">
        <f>SUBSTITUTE(V186,"-","|",2)</f>
        <v>720-530|1785</v>
      </c>
      <c r="AA186" t="str">
        <f>LEFT(V186,3)</f>
        <v>720</v>
      </c>
      <c r="AB186" t="str">
        <f>MID(V186,5,3)</f>
        <v>530</v>
      </c>
      <c r="AC186" t="str">
        <f>RIGHT(V186,4)</f>
        <v>1785</v>
      </c>
      <c r="AD186" s="3" t="s">
        <v>1306</v>
      </c>
      <c r="AE186" s="3" t="str">
        <f t="shared" si="47"/>
        <v>527</v>
      </c>
    </row>
    <row r="187" spans="1:31">
      <c r="A187" t="s">
        <v>157</v>
      </c>
      <c r="B187" t="str">
        <f t="shared" si="33"/>
        <v>Mark</v>
      </c>
      <c r="C187" t="s">
        <v>58</v>
      </c>
      <c r="D187" t="s">
        <v>1307</v>
      </c>
      <c r="E187" t="str">
        <f t="shared" si="34"/>
        <v>Numbers</v>
      </c>
      <c r="F187" t="str">
        <f t="shared" si="35"/>
        <v>MARKNUMBERS</v>
      </c>
      <c r="G187" t="str">
        <f t="shared" si="36"/>
        <v>MARKNUMBERS</v>
      </c>
      <c r="H187" t="str">
        <f t="shared" si="37"/>
        <v>MAR NUMBERS</v>
      </c>
      <c r="I187" t="str">
        <f t="shared" si="38"/>
        <v>MAR.N</v>
      </c>
      <c r="J187" t="s">
        <v>42</v>
      </c>
      <c r="K187" t="s">
        <v>1308</v>
      </c>
      <c r="L187" t="s">
        <v>1309</v>
      </c>
      <c r="M187" t="s">
        <v>200</v>
      </c>
      <c r="N187">
        <v>33614</v>
      </c>
      <c r="O187" t="str">
        <f t="shared" si="39"/>
        <v>33614</v>
      </c>
      <c r="P187" t="str">
        <f t="shared" si="32"/>
        <v>1046 Saints Alley, Tampa, FL, 33614</v>
      </c>
      <c r="Q187" t="s">
        <v>1310</v>
      </c>
      <c r="R187" t="str">
        <f t="shared" si="40"/>
        <v>MarkMNumbers</v>
      </c>
      <c r="S187" t="str">
        <f t="shared" si="41"/>
        <v>hotmail.com</v>
      </c>
      <c r="T187" t="str">
        <f t="shared" si="42"/>
        <v>hotmail</v>
      </c>
      <c r="U187" t="str">
        <f t="shared" si="43"/>
        <v>MarkMNumbers</v>
      </c>
      <c r="V187" t="s">
        <v>1311</v>
      </c>
      <c r="W187" t="str">
        <f t="shared" si="44"/>
        <v>813-</v>
      </c>
      <c r="X187" t="str">
        <f t="shared" si="45"/>
        <v>774</v>
      </c>
      <c r="Y187" t="str">
        <f t="shared" si="46"/>
        <v>-9998</v>
      </c>
      <c r="Z187" t="str">
        <f>SUBSTITUTE(V187,"-","|",2)</f>
        <v>813-774|9998</v>
      </c>
      <c r="AA187" t="str">
        <f>LEFT(V187,3)</f>
        <v>813</v>
      </c>
      <c r="AB187" t="str">
        <f>MID(V187,5,3)</f>
        <v>774</v>
      </c>
      <c r="AC187" t="str">
        <f>RIGHT(V187,4)</f>
        <v>9998</v>
      </c>
      <c r="AD187" s="3" t="s">
        <v>1312</v>
      </c>
      <c r="AE187" s="3" t="str">
        <f t="shared" si="47"/>
        <v>156</v>
      </c>
    </row>
    <row r="188" spans="1:31">
      <c r="A188" t="s">
        <v>1313</v>
      </c>
      <c r="B188" t="str">
        <f t="shared" si="33"/>
        <v>Grover</v>
      </c>
      <c r="C188" t="s">
        <v>343</v>
      </c>
      <c r="D188" t="s">
        <v>1314</v>
      </c>
      <c r="E188" t="str">
        <f t="shared" si="34"/>
        <v>Manning</v>
      </c>
      <c r="F188" t="str">
        <f t="shared" si="35"/>
        <v>GROVERMANNING</v>
      </c>
      <c r="G188" t="str">
        <f t="shared" si="36"/>
        <v>GROVERMANNING</v>
      </c>
      <c r="H188" t="str">
        <f t="shared" si="37"/>
        <v>GRO MANNING</v>
      </c>
      <c r="I188" t="str">
        <f t="shared" si="38"/>
        <v>GRO.M</v>
      </c>
      <c r="J188" t="s">
        <v>42</v>
      </c>
      <c r="K188" t="s">
        <v>1315</v>
      </c>
      <c r="L188" t="s">
        <v>664</v>
      </c>
      <c r="M188" t="s">
        <v>413</v>
      </c>
      <c r="N188">
        <v>21201</v>
      </c>
      <c r="O188" t="str">
        <f t="shared" si="39"/>
        <v>21201</v>
      </c>
      <c r="P188" t="str">
        <f t="shared" si="32"/>
        <v>2958 Harron Drive, Baltimore, MD, 21201</v>
      </c>
      <c r="Q188" t="s">
        <v>1316</v>
      </c>
      <c r="R188" t="str">
        <f t="shared" si="40"/>
        <v>GroverLManning</v>
      </c>
      <c r="S188" t="str">
        <f t="shared" si="41"/>
        <v>gmail.com</v>
      </c>
      <c r="T188" t="str">
        <f t="shared" si="42"/>
        <v>gmail</v>
      </c>
      <c r="U188" t="str">
        <f t="shared" si="43"/>
        <v>GroverLManning</v>
      </c>
      <c r="V188" t="s">
        <v>1317</v>
      </c>
      <c r="W188" t="str">
        <f t="shared" si="44"/>
        <v>443-</v>
      </c>
      <c r="X188" t="str">
        <f t="shared" si="45"/>
        <v>441</v>
      </c>
      <c r="Y188" t="str">
        <f t="shared" si="46"/>
        <v>-3108</v>
      </c>
      <c r="Z188" t="str">
        <f>SUBSTITUTE(V188,"-","|",2)</f>
        <v>443-441|3108</v>
      </c>
      <c r="AA188" t="str">
        <f>LEFT(V188,3)</f>
        <v>443</v>
      </c>
      <c r="AB188" t="str">
        <f>MID(V188,5,3)</f>
        <v>441</v>
      </c>
      <c r="AC188" t="str">
        <f>RIGHT(V188,4)</f>
        <v>3108</v>
      </c>
      <c r="AD188" s="3" t="s">
        <v>1318</v>
      </c>
      <c r="AE188" s="3" t="str">
        <f t="shared" si="47"/>
        <v>0868</v>
      </c>
    </row>
    <row r="189" spans="1:31">
      <c r="A189" t="s">
        <v>269</v>
      </c>
      <c r="B189" t="str">
        <f t="shared" si="33"/>
        <v>Patricia</v>
      </c>
      <c r="C189" t="s">
        <v>213</v>
      </c>
      <c r="D189" t="s">
        <v>1319</v>
      </c>
      <c r="E189" t="str">
        <f t="shared" si="34"/>
        <v>Simmons</v>
      </c>
      <c r="F189" t="str">
        <f t="shared" si="35"/>
        <v>PATRICIASIMMONS</v>
      </c>
      <c r="G189" t="str">
        <f t="shared" si="36"/>
        <v>PATRICIASIMMONS</v>
      </c>
      <c r="H189" t="str">
        <f t="shared" si="37"/>
        <v>PAT SIMMONS</v>
      </c>
      <c r="I189" t="str">
        <f t="shared" si="38"/>
        <v>PAT.S</v>
      </c>
      <c r="J189" t="s">
        <v>32</v>
      </c>
      <c r="K189" t="s">
        <v>1320</v>
      </c>
      <c r="L189" t="s">
        <v>1321</v>
      </c>
      <c r="M189" t="s">
        <v>45</v>
      </c>
      <c r="N189">
        <v>91302</v>
      </c>
      <c r="O189" t="str">
        <f t="shared" si="39"/>
        <v>91302</v>
      </c>
      <c r="P189" t="str">
        <f t="shared" si="32"/>
        <v>1074 Quiet Valley Lane, Calabasas, CA, 91302</v>
      </c>
      <c r="Q189" t="s">
        <v>1322</v>
      </c>
      <c r="R189" t="str">
        <f t="shared" si="40"/>
        <v>PatriciaASimmons</v>
      </c>
      <c r="S189" t="str">
        <f t="shared" si="41"/>
        <v>hotmail.com</v>
      </c>
      <c r="T189" t="str">
        <f t="shared" si="42"/>
        <v>hotmail</v>
      </c>
      <c r="U189" t="str">
        <f t="shared" si="43"/>
        <v>PatriciaASimmons</v>
      </c>
      <c r="V189" t="s">
        <v>1323</v>
      </c>
      <c r="W189" t="str">
        <f t="shared" si="44"/>
        <v>818-</v>
      </c>
      <c r="X189" t="str">
        <f t="shared" si="45"/>
        <v>871</v>
      </c>
      <c r="Y189" t="str">
        <f t="shared" si="46"/>
        <v>-5647</v>
      </c>
      <c r="Z189" t="str">
        <f>SUBSTITUTE(V189,"-","|",2)</f>
        <v>818-871|5647</v>
      </c>
      <c r="AA189" t="str">
        <f>LEFT(V189,3)</f>
        <v>818</v>
      </c>
      <c r="AB189" t="str">
        <f>MID(V189,5,3)</f>
        <v>871</v>
      </c>
      <c r="AC189" t="str">
        <f>RIGHT(V189,4)</f>
        <v>5647</v>
      </c>
      <c r="AD189" s="3" t="s">
        <v>1324</v>
      </c>
      <c r="AE189" s="3" t="str">
        <f t="shared" si="47"/>
        <v>081</v>
      </c>
    </row>
    <row r="190" spans="1:31">
      <c r="A190" t="s">
        <v>1325</v>
      </c>
      <c r="B190" t="str">
        <f t="shared" si="33"/>
        <v>Vivian</v>
      </c>
      <c r="C190" t="s">
        <v>30</v>
      </c>
      <c r="D190" t="s">
        <v>1326</v>
      </c>
      <c r="E190" t="str">
        <f t="shared" si="34"/>
        <v>Rosario</v>
      </c>
      <c r="F190" t="str">
        <f t="shared" si="35"/>
        <v>VIVIANROSARIO</v>
      </c>
      <c r="G190" t="str">
        <f t="shared" si="36"/>
        <v>VIVIANROSARIO</v>
      </c>
      <c r="H190" t="str">
        <f t="shared" si="37"/>
        <v>VIV ROSARIO</v>
      </c>
      <c r="I190" t="str">
        <f t="shared" si="38"/>
        <v>VIV.R</v>
      </c>
      <c r="J190" t="s">
        <v>32</v>
      </c>
      <c r="K190" t="s">
        <v>1327</v>
      </c>
      <c r="L190" t="s">
        <v>1328</v>
      </c>
      <c r="M190" t="s">
        <v>200</v>
      </c>
      <c r="N190">
        <v>33952</v>
      </c>
      <c r="O190" t="str">
        <f t="shared" si="39"/>
        <v>33952</v>
      </c>
      <c r="P190" t="str">
        <f t="shared" si="32"/>
        <v>3892 Lunetta Street, Port Charlotte, FL, 33952</v>
      </c>
      <c r="Q190" t="s">
        <v>1329</v>
      </c>
      <c r="R190" t="str">
        <f t="shared" si="40"/>
        <v>VivianJRosario</v>
      </c>
      <c r="S190" t="str">
        <f t="shared" si="41"/>
        <v>hotmail.com</v>
      </c>
      <c r="T190" t="str">
        <f t="shared" si="42"/>
        <v>hotmail</v>
      </c>
      <c r="U190" t="str">
        <f t="shared" si="43"/>
        <v>VivianJRosario</v>
      </c>
      <c r="V190" t="s">
        <v>1330</v>
      </c>
      <c r="W190" t="str">
        <f t="shared" si="44"/>
        <v>941-</v>
      </c>
      <c r="X190" t="str">
        <f t="shared" si="45"/>
        <v>235</v>
      </c>
      <c r="Y190" t="str">
        <f t="shared" si="46"/>
        <v>-5999</v>
      </c>
      <c r="Z190" t="str">
        <f>SUBSTITUTE(V190,"-","|",2)</f>
        <v>941-235|5999</v>
      </c>
      <c r="AA190" t="str">
        <f>LEFT(V190,3)</f>
        <v>941</v>
      </c>
      <c r="AB190" t="str">
        <f>MID(V190,5,3)</f>
        <v>235</v>
      </c>
      <c r="AC190" t="str">
        <f>RIGHT(V190,4)</f>
        <v>5999</v>
      </c>
      <c r="AD190" s="3" t="s">
        <v>1331</v>
      </c>
      <c r="AE190" s="3" t="str">
        <f t="shared" si="47"/>
        <v>618</v>
      </c>
    </row>
    <row r="191" spans="1:31">
      <c r="A191" t="s">
        <v>615</v>
      </c>
      <c r="B191" t="str">
        <f t="shared" si="33"/>
        <v>Mary</v>
      </c>
      <c r="C191" t="s">
        <v>58</v>
      </c>
      <c r="D191" t="s">
        <v>1332</v>
      </c>
      <c r="E191" t="str">
        <f t="shared" si="34"/>
        <v>Foltz</v>
      </c>
      <c r="F191" t="str">
        <f t="shared" si="35"/>
        <v>MARYFOLTZ</v>
      </c>
      <c r="G191" t="str">
        <f t="shared" si="36"/>
        <v>MARYFOLTZ</v>
      </c>
      <c r="H191" t="str">
        <f t="shared" si="37"/>
        <v>MAR FOLTZ</v>
      </c>
      <c r="I191" t="str">
        <f t="shared" si="38"/>
        <v>MAR.F</v>
      </c>
      <c r="J191" t="s">
        <v>32</v>
      </c>
      <c r="K191" t="s">
        <v>1333</v>
      </c>
      <c r="L191" t="s">
        <v>135</v>
      </c>
      <c r="M191" t="s">
        <v>136</v>
      </c>
      <c r="N191">
        <v>2905</v>
      </c>
      <c r="O191" t="str">
        <f t="shared" si="39"/>
        <v>02905</v>
      </c>
      <c r="P191" t="str">
        <f t="shared" si="32"/>
        <v>4096 Diamond Cove, Providence, RI, 2905</v>
      </c>
      <c r="Q191" t="s">
        <v>1334</v>
      </c>
      <c r="R191" t="str">
        <f t="shared" si="40"/>
        <v>MaryMFoltz</v>
      </c>
      <c r="S191" t="str">
        <f t="shared" si="41"/>
        <v>gmail.com</v>
      </c>
      <c r="T191" t="str">
        <f t="shared" si="42"/>
        <v>gmail</v>
      </c>
      <c r="U191" t="str">
        <f t="shared" si="43"/>
        <v>MaryMFoltz</v>
      </c>
      <c r="V191" t="s">
        <v>1335</v>
      </c>
      <c r="W191" t="str">
        <f t="shared" si="44"/>
        <v>401-</v>
      </c>
      <c r="X191" t="str">
        <f t="shared" si="45"/>
        <v>350</v>
      </c>
      <c r="Y191" t="str">
        <f t="shared" si="46"/>
        <v>-1932</v>
      </c>
      <c r="Z191" t="str">
        <f>SUBSTITUTE(V191,"-","|",2)</f>
        <v>401-350|1932</v>
      </c>
      <c r="AA191" t="str">
        <f>LEFT(V191,3)</f>
        <v>401</v>
      </c>
      <c r="AB191" t="str">
        <f>MID(V191,5,3)</f>
        <v>350</v>
      </c>
      <c r="AC191" t="str">
        <f>RIGHT(V191,4)</f>
        <v>1932</v>
      </c>
      <c r="AD191" s="3" t="s">
        <v>1336</v>
      </c>
      <c r="AE191" s="3" t="str">
        <f t="shared" si="47"/>
        <v>318</v>
      </c>
    </row>
    <row r="192" spans="1:31">
      <c r="A192" t="s">
        <v>1337</v>
      </c>
      <c r="B192" t="str">
        <f t="shared" si="33"/>
        <v>Martin</v>
      </c>
      <c r="C192" t="s">
        <v>297</v>
      </c>
      <c r="D192" t="s">
        <v>1338</v>
      </c>
      <c r="E192" t="str">
        <f t="shared" si="34"/>
        <v>Schaal</v>
      </c>
      <c r="F192" t="str">
        <f t="shared" si="35"/>
        <v>MARTINSCHAAL</v>
      </c>
      <c r="G192" t="str">
        <f t="shared" si="36"/>
        <v>MARTINSCHAAL</v>
      </c>
      <c r="H192" t="str">
        <f t="shared" si="37"/>
        <v>MAR SCHAAL</v>
      </c>
      <c r="I192" t="str">
        <f t="shared" si="38"/>
        <v>MAR.S</v>
      </c>
      <c r="J192" t="s">
        <v>42</v>
      </c>
      <c r="K192" t="s">
        <v>1339</v>
      </c>
      <c r="L192" t="s">
        <v>1340</v>
      </c>
      <c r="M192" t="s">
        <v>45</v>
      </c>
      <c r="N192">
        <v>90405</v>
      </c>
      <c r="O192" t="str">
        <f t="shared" si="39"/>
        <v>90405</v>
      </c>
      <c r="P192" t="str">
        <f t="shared" si="32"/>
        <v>2501 Libby Street, Santa Monica, CA, 90405</v>
      </c>
      <c r="Q192" t="s">
        <v>1341</v>
      </c>
      <c r="R192" t="str">
        <f t="shared" si="40"/>
        <v>MartinTSchaal</v>
      </c>
      <c r="S192" t="str">
        <f t="shared" si="41"/>
        <v>hotmail.com</v>
      </c>
      <c r="T192" t="str">
        <f t="shared" si="42"/>
        <v>hotmail</v>
      </c>
      <c r="U192" t="str">
        <f t="shared" si="43"/>
        <v>MartinTSchaal</v>
      </c>
      <c r="V192" t="s">
        <v>1342</v>
      </c>
      <c r="W192" t="str">
        <f t="shared" si="44"/>
        <v>310-</v>
      </c>
      <c r="X192" t="str">
        <f t="shared" si="45"/>
        <v>267</v>
      </c>
      <c r="Y192" t="str">
        <f t="shared" si="46"/>
        <v>-5199</v>
      </c>
      <c r="Z192" t="str">
        <f>SUBSTITUTE(V192,"-","|",2)</f>
        <v>310-267|5199</v>
      </c>
      <c r="AA192" t="str">
        <f>LEFT(V192,3)</f>
        <v>310</v>
      </c>
      <c r="AB192" t="str">
        <f>MID(V192,5,3)</f>
        <v>267</v>
      </c>
      <c r="AC192" t="str">
        <f>RIGHT(V192,4)</f>
        <v>5199</v>
      </c>
      <c r="AD192" s="3" t="s">
        <v>1343</v>
      </c>
      <c r="AE192" s="3" t="str">
        <f t="shared" si="47"/>
        <v>1277</v>
      </c>
    </row>
    <row r="193" spans="1:31">
      <c r="A193" t="s">
        <v>66</v>
      </c>
      <c r="B193" t="str">
        <f t="shared" si="33"/>
        <v>John</v>
      </c>
      <c r="C193" t="s">
        <v>182</v>
      </c>
      <c r="D193" t="s">
        <v>1344</v>
      </c>
      <c r="E193" t="str">
        <f t="shared" si="34"/>
        <v>Kile</v>
      </c>
      <c r="F193" t="str">
        <f t="shared" si="35"/>
        <v>JOHNKILE</v>
      </c>
      <c r="G193" t="str">
        <f t="shared" si="36"/>
        <v>JOHNKILE</v>
      </c>
      <c r="H193" t="str">
        <f t="shared" si="37"/>
        <v>JOH KILE</v>
      </c>
      <c r="I193" t="str">
        <f t="shared" si="38"/>
        <v>JOH.K</v>
      </c>
      <c r="J193" t="s">
        <v>42</v>
      </c>
      <c r="K193" t="s">
        <v>1345</v>
      </c>
      <c r="L193" t="s">
        <v>1346</v>
      </c>
      <c r="M193" t="s">
        <v>790</v>
      </c>
      <c r="N193">
        <v>5448</v>
      </c>
      <c r="O193" t="str">
        <f t="shared" si="39"/>
        <v>05448</v>
      </c>
      <c r="P193" t="str">
        <f t="shared" si="32"/>
        <v>3832 Selah Way, East Fairfield, VT, 5448</v>
      </c>
      <c r="Q193" t="s">
        <v>1347</v>
      </c>
      <c r="R193" t="str">
        <f t="shared" si="40"/>
        <v>JohnCKile</v>
      </c>
      <c r="S193" t="str">
        <f t="shared" si="41"/>
        <v>hotmail.com</v>
      </c>
      <c r="T193" t="str">
        <f t="shared" si="42"/>
        <v>hotmail</v>
      </c>
      <c r="U193" t="str">
        <f t="shared" si="43"/>
        <v>JohnCKile</v>
      </c>
      <c r="V193" t="s">
        <v>1348</v>
      </c>
      <c r="W193" t="str">
        <f t="shared" si="44"/>
        <v>802-</v>
      </c>
      <c r="X193" t="str">
        <f t="shared" si="45"/>
        <v>664</v>
      </c>
      <c r="Y193" t="str">
        <f t="shared" si="46"/>
        <v>-2037</v>
      </c>
      <c r="Z193" t="str">
        <f>SUBSTITUTE(V193,"-","|",2)</f>
        <v>802-664|2037</v>
      </c>
      <c r="AA193" t="str">
        <f>LEFT(V193,3)</f>
        <v>802</v>
      </c>
      <c r="AB193" t="str">
        <f>MID(V193,5,3)</f>
        <v>664</v>
      </c>
      <c r="AC193" t="str">
        <f>RIGHT(V193,4)</f>
        <v>2037</v>
      </c>
      <c r="AD193" s="3" t="s">
        <v>1349</v>
      </c>
      <c r="AE193" s="3" t="str">
        <f t="shared" si="47"/>
        <v>6645</v>
      </c>
    </row>
    <row r="194" spans="1:31">
      <c r="A194" t="s">
        <v>1350</v>
      </c>
      <c r="B194" t="str">
        <f t="shared" si="33"/>
        <v>Joan</v>
      </c>
      <c r="C194" t="s">
        <v>30</v>
      </c>
      <c r="D194" t="s">
        <v>1351</v>
      </c>
      <c r="E194" t="str">
        <f t="shared" si="34"/>
        <v>Willingham</v>
      </c>
      <c r="F194" t="str">
        <f t="shared" si="35"/>
        <v>JOANWILLINGHAM</v>
      </c>
      <c r="G194" t="str">
        <f t="shared" si="36"/>
        <v>JOANWILLINGHAM</v>
      </c>
      <c r="H194" t="str">
        <f t="shared" si="37"/>
        <v>JOA WILLINGHAM</v>
      </c>
      <c r="I194" t="str">
        <f t="shared" si="38"/>
        <v>JOA.W</v>
      </c>
      <c r="J194" t="s">
        <v>32</v>
      </c>
      <c r="K194" t="s">
        <v>1352</v>
      </c>
      <c r="L194" t="s">
        <v>1353</v>
      </c>
      <c r="M194" t="s">
        <v>1354</v>
      </c>
      <c r="N194">
        <v>59901</v>
      </c>
      <c r="O194" t="str">
        <f t="shared" si="39"/>
        <v>59901</v>
      </c>
      <c r="P194" t="str">
        <f t="shared" ref="P194:P257" si="48">K194&amp;", "&amp;L194&amp;", "&amp;M194&amp;", "&amp;N194</f>
        <v>4558 Richison Drive, Kalispell, MT, 59901</v>
      </c>
      <c r="Q194" t="s">
        <v>1355</v>
      </c>
      <c r="R194" t="str">
        <f t="shared" si="40"/>
        <v>JoanJWillingham</v>
      </c>
      <c r="S194" t="str">
        <f t="shared" si="41"/>
        <v>hotmail.com</v>
      </c>
      <c r="T194" t="str">
        <f t="shared" si="42"/>
        <v>hotmail</v>
      </c>
      <c r="U194" t="str">
        <f t="shared" si="43"/>
        <v>JoanJWillingham</v>
      </c>
      <c r="V194" t="s">
        <v>1356</v>
      </c>
      <c r="W194" t="str">
        <f t="shared" si="44"/>
        <v>406-</v>
      </c>
      <c r="X194" t="str">
        <f t="shared" si="45"/>
        <v>257</v>
      </c>
      <c r="Y194" t="str">
        <f t="shared" si="46"/>
        <v>-3839</v>
      </c>
      <c r="Z194" t="str">
        <f>SUBSTITUTE(V194,"-","|",2)</f>
        <v>406-257|3839</v>
      </c>
      <c r="AA194" t="str">
        <f>LEFT(V194,3)</f>
        <v>406</v>
      </c>
      <c r="AB194" t="str">
        <f>MID(V194,5,3)</f>
        <v>257</v>
      </c>
      <c r="AC194" t="str">
        <f>RIGHT(V194,4)</f>
        <v>3839</v>
      </c>
      <c r="AD194" s="3" t="s">
        <v>1357</v>
      </c>
      <c r="AE194" s="3" t="str">
        <f t="shared" si="47"/>
        <v>6503</v>
      </c>
    </row>
    <row r="195" spans="1:31">
      <c r="A195" t="s">
        <v>140</v>
      </c>
      <c r="B195" t="str">
        <f t="shared" ref="B195:B258" si="49">TRIM(PROPER(A195))</f>
        <v>Barbara</v>
      </c>
      <c r="C195" t="s">
        <v>343</v>
      </c>
      <c r="D195" t="s">
        <v>1358</v>
      </c>
      <c r="E195" t="str">
        <f t="shared" ref="E195:E258" si="50">TRIM(PROPER(D195))</f>
        <v>Long</v>
      </c>
      <c r="F195" t="str">
        <f t="shared" ref="F195:F258" si="51">A195&amp;""&amp;D195</f>
        <v>BARBARALONG</v>
      </c>
      <c r="G195" t="str">
        <f t="shared" ref="G195:G258" si="52">CONCATENATE(A195,D195)</f>
        <v>BARBARALONG</v>
      </c>
      <c r="H195" t="str">
        <f t="shared" ref="H195:H258" si="53">LEFT(A195,3)&amp;" "&amp;D195</f>
        <v>BAR LONG</v>
      </c>
      <c r="I195" t="str">
        <f t="shared" ref="I195:I258" si="54">LEFT(A195,3)&amp;"."&amp;LEFT(D195,1)</f>
        <v>BAR.L</v>
      </c>
      <c r="J195" t="s">
        <v>32</v>
      </c>
      <c r="K195" t="s">
        <v>1359</v>
      </c>
      <c r="L195" t="s">
        <v>1360</v>
      </c>
      <c r="M195" t="s">
        <v>871</v>
      </c>
      <c r="N195">
        <v>98932</v>
      </c>
      <c r="O195" t="str">
        <f t="shared" ref="O195:O258" si="55">IF(LEN(N195)=5,TEXT(N195,"#####"),IF(LEN(N195)=4,TEXT(N195,"0####")))</f>
        <v>98932</v>
      </c>
      <c r="P195" t="str">
        <f t="shared" si="48"/>
        <v>2975 Sun Valley Road, Granger, WA, 98932</v>
      </c>
      <c r="Q195" t="s">
        <v>1361</v>
      </c>
      <c r="R195" t="str">
        <f t="shared" ref="R195:R258" si="56">LEFT(Q195,SEARCH("@",Q195)-1)</f>
        <v>BarbaraLLong</v>
      </c>
      <c r="S195" t="str">
        <f t="shared" ref="S195:S258" si="57">RIGHT(Q195,LEN(Q195)-SEARCH("@",Q195))</f>
        <v>hotmail.com</v>
      </c>
      <c r="T195" t="str">
        <f t="shared" ref="T195:T258" si="58">IF(ISNUMBER(SEARCH("gmail",Q195)),"gmail",IF(ISNUMBER(SEARCH("aol",Q195)),"aol",IF(ISNUMBER(SEARCH("hotmail",Q195)),"hotmail","other")))</f>
        <v>hotmail</v>
      </c>
      <c r="U195" t="str">
        <f t="shared" ref="U195:U258" si="59">LEFT(Q195,SEARCH("@",Q195)-1)</f>
        <v>BarbaraLLong</v>
      </c>
      <c r="V195" t="s">
        <v>1362</v>
      </c>
      <c r="W195" t="str">
        <f t="shared" ref="W195:W258" si="60">LEFT(V195,4)</f>
        <v>509-</v>
      </c>
      <c r="X195" t="str">
        <f t="shared" ref="X195:X258" si="61">MID(V195,5,3)</f>
        <v>854</v>
      </c>
      <c r="Y195" t="str">
        <f t="shared" ref="Y195:Y258" si="62">RIGHT(V195,5)</f>
        <v>-4493</v>
      </c>
      <c r="Z195" t="str">
        <f>SUBSTITUTE(V195,"-","|",2)</f>
        <v>509-854|4493</v>
      </c>
      <c r="AA195" t="str">
        <f>LEFT(V195,3)</f>
        <v>509</v>
      </c>
      <c r="AB195" t="str">
        <f>MID(V195,5,3)</f>
        <v>854</v>
      </c>
      <c r="AC195" t="str">
        <f>RIGHT(V195,4)</f>
        <v>4493</v>
      </c>
      <c r="AD195" s="3" t="s">
        <v>1363</v>
      </c>
      <c r="AE195" s="3" t="str">
        <f t="shared" ref="AE195:AE258" si="63">RIGHT(AD195,LEN(AD195)-SEARCH("-",AD195))</f>
        <v>9542</v>
      </c>
    </row>
    <row r="196" spans="1:31">
      <c r="A196" t="s">
        <v>471</v>
      </c>
      <c r="B196" t="str">
        <f t="shared" si="49"/>
        <v>David</v>
      </c>
      <c r="C196" t="s">
        <v>781</v>
      </c>
      <c r="D196" t="s">
        <v>1364</v>
      </c>
      <c r="E196" t="str">
        <f t="shared" si="50"/>
        <v>Stuart</v>
      </c>
      <c r="F196" t="str">
        <f t="shared" si="51"/>
        <v>DAVIDSTUART</v>
      </c>
      <c r="G196" t="str">
        <f t="shared" si="52"/>
        <v>DAVIDSTUART</v>
      </c>
      <c r="H196" t="str">
        <f t="shared" si="53"/>
        <v>DAV STUART</v>
      </c>
      <c r="I196" t="str">
        <f t="shared" si="54"/>
        <v>DAV.S</v>
      </c>
      <c r="J196" t="s">
        <v>42</v>
      </c>
      <c r="K196" t="s">
        <v>1365</v>
      </c>
      <c r="L196" t="s">
        <v>878</v>
      </c>
      <c r="M196" t="s">
        <v>35</v>
      </c>
      <c r="N196">
        <v>60173</v>
      </c>
      <c r="O196" t="str">
        <f t="shared" si="55"/>
        <v>60173</v>
      </c>
      <c r="P196" t="str">
        <f t="shared" si="48"/>
        <v>485 Hog Camp Road, Schaumburg, IL, 60173</v>
      </c>
      <c r="Q196" t="s">
        <v>1366</v>
      </c>
      <c r="R196" t="str">
        <f t="shared" si="56"/>
        <v>DavidNStuart</v>
      </c>
      <c r="S196" t="str">
        <f t="shared" si="57"/>
        <v>hotmail.com</v>
      </c>
      <c r="T196" t="str">
        <f t="shared" si="58"/>
        <v>hotmail</v>
      </c>
      <c r="U196" t="str">
        <f t="shared" si="59"/>
        <v>DavidNStuart</v>
      </c>
      <c r="V196" t="s">
        <v>1367</v>
      </c>
      <c r="W196" t="str">
        <f t="shared" si="60"/>
        <v>708-</v>
      </c>
      <c r="X196" t="str">
        <f t="shared" si="61"/>
        <v>525</v>
      </c>
      <c r="Y196" t="str">
        <f t="shared" si="62"/>
        <v>-4749</v>
      </c>
      <c r="Z196" t="str">
        <f>SUBSTITUTE(V196,"-","|",2)</f>
        <v>708-525|4749</v>
      </c>
      <c r="AA196" t="str">
        <f>LEFT(V196,3)</f>
        <v>708</v>
      </c>
      <c r="AB196" t="str">
        <f>MID(V196,5,3)</f>
        <v>525</v>
      </c>
      <c r="AC196" t="str">
        <f>RIGHT(V196,4)</f>
        <v>4749</v>
      </c>
      <c r="AD196" s="3" t="s">
        <v>1368</v>
      </c>
      <c r="AE196" s="3" t="str">
        <f t="shared" si="63"/>
        <v>1085</v>
      </c>
    </row>
    <row r="197" spans="1:31">
      <c r="A197" t="s">
        <v>834</v>
      </c>
      <c r="B197" t="str">
        <f t="shared" si="49"/>
        <v>Ronald</v>
      </c>
      <c r="C197" t="s">
        <v>213</v>
      </c>
      <c r="D197" t="s">
        <v>1369</v>
      </c>
      <c r="E197" t="str">
        <f t="shared" si="50"/>
        <v>Easley</v>
      </c>
      <c r="F197" t="str">
        <f t="shared" si="51"/>
        <v>RONALDEASLEY</v>
      </c>
      <c r="G197" t="str">
        <f t="shared" si="52"/>
        <v>RONALDEASLEY</v>
      </c>
      <c r="H197" t="str">
        <f t="shared" si="53"/>
        <v>RON EASLEY</v>
      </c>
      <c r="I197" t="str">
        <f t="shared" si="54"/>
        <v>RON.E</v>
      </c>
      <c r="J197" t="s">
        <v>42</v>
      </c>
      <c r="K197" t="s">
        <v>1370</v>
      </c>
      <c r="L197" t="s">
        <v>1371</v>
      </c>
      <c r="M197" t="s">
        <v>45</v>
      </c>
      <c r="N197">
        <v>91362</v>
      </c>
      <c r="O197" t="str">
        <f t="shared" si="55"/>
        <v>91362</v>
      </c>
      <c r="P197" t="str">
        <f t="shared" si="48"/>
        <v>2669 Diane Street, Thousand Oaks, CA, 91362</v>
      </c>
      <c r="Q197" t="s">
        <v>1372</v>
      </c>
      <c r="R197" t="str">
        <f t="shared" si="56"/>
        <v>RonaldAEasley</v>
      </c>
      <c r="S197" t="str">
        <f t="shared" si="57"/>
        <v>aol.com</v>
      </c>
      <c r="T197" t="str">
        <f t="shared" si="58"/>
        <v>aol</v>
      </c>
      <c r="U197" t="str">
        <f t="shared" si="59"/>
        <v>RonaldAEasley</v>
      </c>
      <c r="V197" t="s">
        <v>1373</v>
      </c>
      <c r="W197" t="str">
        <f t="shared" si="60"/>
        <v>805-</v>
      </c>
      <c r="X197" t="str">
        <f t="shared" si="61"/>
        <v>373</v>
      </c>
      <c r="Y197" t="str">
        <f t="shared" si="62"/>
        <v>-3889</v>
      </c>
      <c r="Z197" t="str">
        <f>SUBSTITUTE(V197,"-","|",2)</f>
        <v>805-373|3889</v>
      </c>
      <c r="AA197" t="str">
        <f>LEFT(V197,3)</f>
        <v>805</v>
      </c>
      <c r="AB197" t="str">
        <f>MID(V197,5,3)</f>
        <v>373</v>
      </c>
      <c r="AC197" t="str">
        <f>RIGHT(V197,4)</f>
        <v>3889</v>
      </c>
      <c r="AD197" s="3" t="s">
        <v>1374</v>
      </c>
      <c r="AE197" s="3" t="str">
        <f t="shared" si="63"/>
        <v>051</v>
      </c>
    </row>
    <row r="198" spans="1:31">
      <c r="A198" t="s">
        <v>1375</v>
      </c>
      <c r="B198" t="str">
        <f t="shared" si="49"/>
        <v>Sharon</v>
      </c>
      <c r="C198" t="s">
        <v>132</v>
      </c>
      <c r="D198" t="s">
        <v>1376</v>
      </c>
      <c r="E198" t="str">
        <f t="shared" si="50"/>
        <v>Graham</v>
      </c>
      <c r="F198" t="str">
        <f t="shared" si="51"/>
        <v>SHARONGRAHAM</v>
      </c>
      <c r="G198" t="str">
        <f t="shared" si="52"/>
        <v>SHARONGRAHAM</v>
      </c>
      <c r="H198" t="str">
        <f t="shared" si="53"/>
        <v>SHA GRAHAM</v>
      </c>
      <c r="I198" t="str">
        <f t="shared" si="54"/>
        <v>SHA.G</v>
      </c>
      <c r="J198" t="s">
        <v>32</v>
      </c>
      <c r="K198" t="s">
        <v>1377</v>
      </c>
      <c r="L198" t="s">
        <v>1157</v>
      </c>
      <c r="M198" t="s">
        <v>104</v>
      </c>
      <c r="N198">
        <v>10013</v>
      </c>
      <c r="O198" t="str">
        <f t="shared" si="55"/>
        <v>10013</v>
      </c>
      <c r="P198" t="str">
        <f t="shared" si="48"/>
        <v>1017 Redbud Drive, New York, NY, 10013</v>
      </c>
      <c r="Q198" t="s">
        <v>1378</v>
      </c>
      <c r="R198" t="str">
        <f t="shared" si="56"/>
        <v>SharonRGraham</v>
      </c>
      <c r="S198" t="str">
        <f t="shared" si="57"/>
        <v>aol.com</v>
      </c>
      <c r="T198" t="str">
        <f t="shared" si="58"/>
        <v>aol</v>
      </c>
      <c r="U198" t="str">
        <f t="shared" si="59"/>
        <v>SharonRGraham</v>
      </c>
      <c r="V198" t="s">
        <v>1379</v>
      </c>
      <c r="W198" t="str">
        <f t="shared" si="60"/>
        <v>347-</v>
      </c>
      <c r="X198" t="str">
        <f t="shared" si="61"/>
        <v>697</v>
      </c>
      <c r="Y198" t="str">
        <f t="shared" si="62"/>
        <v>-5792</v>
      </c>
      <c r="Z198" t="str">
        <f>SUBSTITUTE(V198,"-","|",2)</f>
        <v>347-697|5792</v>
      </c>
      <c r="AA198" t="str">
        <f>LEFT(V198,3)</f>
        <v>347</v>
      </c>
      <c r="AB198" t="str">
        <f>MID(V198,5,3)</f>
        <v>697</v>
      </c>
      <c r="AC198" t="str">
        <f>RIGHT(V198,4)</f>
        <v>5792</v>
      </c>
      <c r="AD198" s="3" t="s">
        <v>1380</v>
      </c>
      <c r="AE198" s="3" t="str">
        <f t="shared" si="63"/>
        <v>2125</v>
      </c>
    </row>
    <row r="199" spans="1:31">
      <c r="A199" t="s">
        <v>1381</v>
      </c>
      <c r="B199" t="str">
        <f t="shared" si="49"/>
        <v>Darryl</v>
      </c>
      <c r="C199" t="s">
        <v>141</v>
      </c>
      <c r="D199" t="s">
        <v>1382</v>
      </c>
      <c r="E199" t="str">
        <f t="shared" si="50"/>
        <v>Ramirez</v>
      </c>
      <c r="F199" t="str">
        <f t="shared" si="51"/>
        <v>DARRYLRAMIREZ</v>
      </c>
      <c r="G199" t="str">
        <f t="shared" si="52"/>
        <v>DARRYLRAMIREZ</v>
      </c>
      <c r="H199" t="str">
        <f t="shared" si="53"/>
        <v>DAR RAMIREZ</v>
      </c>
      <c r="I199" t="str">
        <f t="shared" si="54"/>
        <v>DAR.R</v>
      </c>
      <c r="J199" t="s">
        <v>42</v>
      </c>
      <c r="K199" t="s">
        <v>1383</v>
      </c>
      <c r="L199" t="s">
        <v>1384</v>
      </c>
      <c r="M199" t="s">
        <v>1385</v>
      </c>
      <c r="N199">
        <v>72908</v>
      </c>
      <c r="O199" t="str">
        <f t="shared" si="55"/>
        <v>72908</v>
      </c>
      <c r="P199" t="str">
        <f t="shared" si="48"/>
        <v>2860 Midway Road, Fort Smith, AR, 72908</v>
      </c>
      <c r="Q199" t="s">
        <v>1386</v>
      </c>
      <c r="R199" t="str">
        <f t="shared" si="56"/>
        <v>DarrylERamirez</v>
      </c>
      <c r="S199" t="str">
        <f t="shared" si="57"/>
        <v>aol.com</v>
      </c>
      <c r="T199" t="str">
        <f t="shared" si="58"/>
        <v>aol</v>
      </c>
      <c r="U199" t="str">
        <f t="shared" si="59"/>
        <v>DarrylERamirez</v>
      </c>
      <c r="V199" t="s">
        <v>1387</v>
      </c>
      <c r="W199" t="str">
        <f t="shared" si="60"/>
        <v>479-</v>
      </c>
      <c r="X199" t="str">
        <f t="shared" si="61"/>
        <v>466</v>
      </c>
      <c r="Y199" t="str">
        <f t="shared" si="62"/>
        <v>-7147</v>
      </c>
      <c r="Z199" t="str">
        <f>SUBSTITUTE(V199,"-","|",2)</f>
        <v>479-466|7147</v>
      </c>
      <c r="AA199" t="str">
        <f>LEFT(V199,3)</f>
        <v>479</v>
      </c>
      <c r="AB199" t="str">
        <f>MID(V199,5,3)</f>
        <v>466</v>
      </c>
      <c r="AC199" t="str">
        <f>RIGHT(V199,4)</f>
        <v>7147</v>
      </c>
      <c r="AD199" s="3" t="s">
        <v>1388</v>
      </c>
      <c r="AE199" s="3" t="str">
        <f t="shared" si="63"/>
        <v>056</v>
      </c>
    </row>
    <row r="200" spans="1:31">
      <c r="A200" t="s">
        <v>1389</v>
      </c>
      <c r="B200" t="str">
        <f t="shared" si="49"/>
        <v>Anne</v>
      </c>
      <c r="C200" t="s">
        <v>67</v>
      </c>
      <c r="D200" t="s">
        <v>1390</v>
      </c>
      <c r="E200" t="str">
        <f t="shared" si="50"/>
        <v>Zamora</v>
      </c>
      <c r="F200" t="str">
        <f t="shared" si="51"/>
        <v>ANNEZAMORA</v>
      </c>
      <c r="G200" t="str">
        <f t="shared" si="52"/>
        <v>ANNEZAMORA</v>
      </c>
      <c r="H200" t="str">
        <f t="shared" si="53"/>
        <v>ANN ZAMORA</v>
      </c>
      <c r="I200" t="str">
        <f t="shared" si="54"/>
        <v>ANN.Z</v>
      </c>
      <c r="J200" t="s">
        <v>32</v>
      </c>
      <c r="K200" t="s">
        <v>1391</v>
      </c>
      <c r="L200" t="s">
        <v>837</v>
      </c>
      <c r="M200" t="s">
        <v>323</v>
      </c>
      <c r="N200">
        <v>55415</v>
      </c>
      <c r="O200" t="str">
        <f t="shared" si="55"/>
        <v>55415</v>
      </c>
      <c r="P200" t="str">
        <f t="shared" si="48"/>
        <v>2415 Willison Street, Minneapolis, MN, 55415</v>
      </c>
      <c r="Q200" t="s">
        <v>1392</v>
      </c>
      <c r="R200" t="str">
        <f t="shared" si="56"/>
        <v>AnneDZamora</v>
      </c>
      <c r="S200" t="str">
        <f t="shared" si="57"/>
        <v>gmail.com</v>
      </c>
      <c r="T200" t="str">
        <f t="shared" si="58"/>
        <v>gmail</v>
      </c>
      <c r="U200" t="str">
        <f t="shared" si="59"/>
        <v>AnneDZamora</v>
      </c>
      <c r="V200" t="s">
        <v>1393</v>
      </c>
      <c r="W200" t="str">
        <f t="shared" si="60"/>
        <v>763-</v>
      </c>
      <c r="X200" t="str">
        <f t="shared" si="61"/>
        <v>232</v>
      </c>
      <c r="Y200" t="str">
        <f t="shared" si="62"/>
        <v>-7639</v>
      </c>
      <c r="Z200" t="str">
        <f>SUBSTITUTE(V200,"-","|",2)</f>
        <v>763-232|7639</v>
      </c>
      <c r="AA200" t="str">
        <f>LEFT(V200,3)</f>
        <v>763</v>
      </c>
      <c r="AB200" t="str">
        <f>MID(V200,5,3)</f>
        <v>232</v>
      </c>
      <c r="AC200" t="str">
        <f>RIGHT(V200,4)</f>
        <v>7639</v>
      </c>
      <c r="AD200" s="3" t="s">
        <v>1394</v>
      </c>
      <c r="AE200" s="3" t="str">
        <f t="shared" si="63"/>
        <v>307</v>
      </c>
    </row>
    <row r="201" spans="1:31">
      <c r="A201" t="s">
        <v>1395</v>
      </c>
      <c r="B201" t="str">
        <f t="shared" si="49"/>
        <v>Isaiah</v>
      </c>
      <c r="C201" t="s">
        <v>343</v>
      </c>
      <c r="D201" t="s">
        <v>1396</v>
      </c>
      <c r="E201" t="str">
        <f t="shared" si="50"/>
        <v>Buckner</v>
      </c>
      <c r="F201" t="str">
        <f t="shared" si="51"/>
        <v>ISAIAHBUCKNER</v>
      </c>
      <c r="G201" t="str">
        <f t="shared" si="52"/>
        <v>ISAIAHBUCKNER</v>
      </c>
      <c r="H201" t="str">
        <f t="shared" si="53"/>
        <v>ISA BUCKNER</v>
      </c>
      <c r="I201" t="str">
        <f t="shared" si="54"/>
        <v>ISA.B</v>
      </c>
      <c r="J201" t="s">
        <v>42</v>
      </c>
      <c r="K201" t="s">
        <v>1397</v>
      </c>
      <c r="L201" t="s">
        <v>1340</v>
      </c>
      <c r="M201" t="s">
        <v>45</v>
      </c>
      <c r="N201">
        <v>90401</v>
      </c>
      <c r="O201" t="str">
        <f t="shared" si="55"/>
        <v>90401</v>
      </c>
      <c r="P201" t="str">
        <f t="shared" si="48"/>
        <v>1812 Armbrester Drive, Santa Monica, CA, 90401</v>
      </c>
      <c r="Q201" t="s">
        <v>1398</v>
      </c>
      <c r="R201" t="str">
        <f t="shared" si="56"/>
        <v>IsaiahLBuckner</v>
      </c>
      <c r="S201" t="str">
        <f t="shared" si="57"/>
        <v>gmail.com</v>
      </c>
      <c r="T201" t="str">
        <f t="shared" si="58"/>
        <v>gmail</v>
      </c>
      <c r="U201" t="str">
        <f t="shared" si="59"/>
        <v>IsaiahLBuckner</v>
      </c>
      <c r="V201" t="s">
        <v>1399</v>
      </c>
      <c r="W201" t="str">
        <f t="shared" si="60"/>
        <v>310-</v>
      </c>
      <c r="X201" t="str">
        <f t="shared" si="61"/>
        <v>458</v>
      </c>
      <c r="Y201" t="str">
        <f t="shared" si="62"/>
        <v>-2929</v>
      </c>
      <c r="Z201" t="str">
        <f>SUBSTITUTE(V201,"-","|",2)</f>
        <v>310-458|2929</v>
      </c>
      <c r="AA201" t="str">
        <f>LEFT(V201,3)</f>
        <v>310</v>
      </c>
      <c r="AB201" t="str">
        <f>MID(V201,5,3)</f>
        <v>458</v>
      </c>
      <c r="AC201" t="str">
        <f>RIGHT(V201,4)</f>
        <v>2929</v>
      </c>
      <c r="AD201" s="3" t="s">
        <v>1400</v>
      </c>
      <c r="AE201" s="3" t="str">
        <f t="shared" si="63"/>
        <v>4498</v>
      </c>
    </row>
    <row r="202" spans="1:31">
      <c r="A202" t="s">
        <v>1401</v>
      </c>
      <c r="B202" t="str">
        <f t="shared" si="49"/>
        <v>Angie</v>
      </c>
      <c r="C202" t="s">
        <v>182</v>
      </c>
      <c r="D202" t="s">
        <v>1402</v>
      </c>
      <c r="E202" t="str">
        <f t="shared" si="50"/>
        <v>Glassman</v>
      </c>
      <c r="F202" t="str">
        <f t="shared" si="51"/>
        <v>ANGIEGLASSMAN</v>
      </c>
      <c r="G202" t="str">
        <f t="shared" si="52"/>
        <v>ANGIEGLASSMAN</v>
      </c>
      <c r="H202" t="str">
        <f t="shared" si="53"/>
        <v>ANG GLASSMAN</v>
      </c>
      <c r="I202" t="str">
        <f t="shared" si="54"/>
        <v>ANG.G</v>
      </c>
      <c r="J202" t="s">
        <v>32</v>
      </c>
      <c r="K202" t="s">
        <v>1403</v>
      </c>
      <c r="L202" t="s">
        <v>1404</v>
      </c>
      <c r="M202" t="s">
        <v>256</v>
      </c>
      <c r="N202">
        <v>28560</v>
      </c>
      <c r="O202" t="str">
        <f t="shared" si="55"/>
        <v>28560</v>
      </c>
      <c r="P202" t="str">
        <f t="shared" si="48"/>
        <v>4886 Edwards Street, New Bern, NC, 28560</v>
      </c>
      <c r="Q202" t="s">
        <v>1405</v>
      </c>
      <c r="R202" t="str">
        <f t="shared" si="56"/>
        <v>AngieCGlassman</v>
      </c>
      <c r="S202" t="str">
        <f t="shared" si="57"/>
        <v>hotmail.com</v>
      </c>
      <c r="T202" t="str">
        <f t="shared" si="58"/>
        <v>hotmail</v>
      </c>
      <c r="U202" t="str">
        <f t="shared" si="59"/>
        <v>AngieCGlassman</v>
      </c>
      <c r="V202" t="s">
        <v>1406</v>
      </c>
      <c r="W202" t="str">
        <f t="shared" si="60"/>
        <v>252-</v>
      </c>
      <c r="X202" t="str">
        <f t="shared" si="61"/>
        <v>636</v>
      </c>
      <c r="Y202" t="str">
        <f t="shared" si="62"/>
        <v>-3151</v>
      </c>
      <c r="Z202" t="str">
        <f>SUBSTITUTE(V202,"-","|",2)</f>
        <v>252-636|3151</v>
      </c>
      <c r="AA202" t="str">
        <f>LEFT(V202,3)</f>
        <v>252</v>
      </c>
      <c r="AB202" t="str">
        <f>MID(V202,5,3)</f>
        <v>636</v>
      </c>
      <c r="AC202" t="str">
        <f>RIGHT(V202,4)</f>
        <v>3151</v>
      </c>
      <c r="AD202" s="3" t="s">
        <v>1407</v>
      </c>
      <c r="AE202" s="3" t="str">
        <f t="shared" si="63"/>
        <v>4735</v>
      </c>
    </row>
    <row r="203" spans="1:31">
      <c r="A203" t="s">
        <v>1408</v>
      </c>
      <c r="B203" t="str">
        <f t="shared" si="49"/>
        <v>Stephen</v>
      </c>
      <c r="C203" t="s">
        <v>67</v>
      </c>
      <c r="D203" t="s">
        <v>1409</v>
      </c>
      <c r="E203" t="str">
        <f t="shared" si="50"/>
        <v>Bernier</v>
      </c>
      <c r="F203" t="str">
        <f t="shared" si="51"/>
        <v>STEPHENBERNIER</v>
      </c>
      <c r="G203" t="str">
        <f t="shared" si="52"/>
        <v>STEPHENBERNIER</v>
      </c>
      <c r="H203" t="str">
        <f t="shared" si="53"/>
        <v>STE BERNIER</v>
      </c>
      <c r="I203" t="str">
        <f t="shared" si="54"/>
        <v>STE.B</v>
      </c>
      <c r="J203" t="s">
        <v>42</v>
      </c>
      <c r="K203" t="s">
        <v>1410</v>
      </c>
      <c r="L203" t="s">
        <v>1411</v>
      </c>
      <c r="M203" t="s">
        <v>200</v>
      </c>
      <c r="N203">
        <v>33566</v>
      </c>
      <c r="O203" t="str">
        <f t="shared" si="55"/>
        <v>33566</v>
      </c>
      <c r="P203" t="str">
        <f t="shared" si="48"/>
        <v>547 Saints Alley, Plant City, FL, 33566</v>
      </c>
      <c r="Q203" t="s">
        <v>1412</v>
      </c>
      <c r="R203" t="str">
        <f t="shared" si="56"/>
        <v>StephenDBernier</v>
      </c>
      <c r="S203" t="str">
        <f t="shared" si="57"/>
        <v>hotmail.com</v>
      </c>
      <c r="T203" t="str">
        <f t="shared" si="58"/>
        <v>hotmail</v>
      </c>
      <c r="U203" t="str">
        <f t="shared" si="59"/>
        <v>StephenDBernier</v>
      </c>
      <c r="V203" t="s">
        <v>1413</v>
      </c>
      <c r="W203" t="str">
        <f t="shared" si="60"/>
        <v>813-</v>
      </c>
      <c r="X203" t="str">
        <f t="shared" si="61"/>
        <v>545</v>
      </c>
      <c r="Y203" t="str">
        <f t="shared" si="62"/>
        <v>-6399</v>
      </c>
      <c r="Z203" t="str">
        <f>SUBSTITUTE(V203,"-","|",2)</f>
        <v>813-545|6399</v>
      </c>
      <c r="AA203" t="str">
        <f>LEFT(V203,3)</f>
        <v>813</v>
      </c>
      <c r="AB203" t="str">
        <f>MID(V203,5,3)</f>
        <v>545</v>
      </c>
      <c r="AC203" t="str">
        <f>RIGHT(V203,4)</f>
        <v>6399</v>
      </c>
      <c r="AD203" s="3" t="s">
        <v>1414</v>
      </c>
      <c r="AE203" s="3" t="str">
        <f t="shared" si="63"/>
        <v>331</v>
      </c>
    </row>
    <row r="204" spans="1:31">
      <c r="A204" t="s">
        <v>1415</v>
      </c>
      <c r="B204" t="str">
        <f t="shared" si="49"/>
        <v>Dorothy</v>
      </c>
      <c r="C204" t="s">
        <v>365</v>
      </c>
      <c r="D204" t="s">
        <v>1416</v>
      </c>
      <c r="E204" t="str">
        <f t="shared" si="50"/>
        <v>Ransom</v>
      </c>
      <c r="F204" t="str">
        <f t="shared" si="51"/>
        <v>DOROTHYRANSOM</v>
      </c>
      <c r="G204" t="str">
        <f t="shared" si="52"/>
        <v>DOROTHYRANSOM</v>
      </c>
      <c r="H204" t="str">
        <f t="shared" si="53"/>
        <v>DOR RANSOM</v>
      </c>
      <c r="I204" t="str">
        <f t="shared" si="54"/>
        <v>DOR.R</v>
      </c>
      <c r="J204" t="s">
        <v>32</v>
      </c>
      <c r="K204" t="s">
        <v>1417</v>
      </c>
      <c r="L204" t="s">
        <v>1418</v>
      </c>
      <c r="M204" t="s">
        <v>1419</v>
      </c>
      <c r="N204">
        <v>19720</v>
      </c>
      <c r="O204" t="str">
        <f t="shared" si="55"/>
        <v>19720</v>
      </c>
      <c r="P204" t="str">
        <f t="shared" si="48"/>
        <v>2933 Argonne Street, New Castle, DE, 19720</v>
      </c>
      <c r="Q204" t="s">
        <v>1420</v>
      </c>
      <c r="R204" t="str">
        <f t="shared" si="56"/>
        <v>DorothyGRansom</v>
      </c>
      <c r="S204" t="str">
        <f t="shared" si="57"/>
        <v>aol.com</v>
      </c>
      <c r="T204" t="str">
        <f t="shared" si="58"/>
        <v>aol</v>
      </c>
      <c r="U204" t="str">
        <f t="shared" si="59"/>
        <v>DorothyGRansom</v>
      </c>
      <c r="V204" t="s">
        <v>1421</v>
      </c>
      <c r="W204" t="str">
        <f t="shared" si="60"/>
        <v>302-</v>
      </c>
      <c r="X204" t="str">
        <f t="shared" si="61"/>
        <v>328</v>
      </c>
      <c r="Y204" t="str">
        <f t="shared" si="62"/>
        <v>-5806</v>
      </c>
      <c r="Z204" t="str">
        <f>SUBSTITUTE(V204,"-","|",2)</f>
        <v>302-328|5806</v>
      </c>
      <c r="AA204" t="str">
        <f>LEFT(V204,3)</f>
        <v>302</v>
      </c>
      <c r="AB204" t="str">
        <f>MID(V204,5,3)</f>
        <v>328</v>
      </c>
      <c r="AC204" t="str">
        <f>RIGHT(V204,4)</f>
        <v>5806</v>
      </c>
      <c r="AD204" s="3" t="s">
        <v>1422</v>
      </c>
      <c r="AE204" s="3" t="str">
        <f t="shared" si="63"/>
        <v>695</v>
      </c>
    </row>
    <row r="205" spans="1:31">
      <c r="A205" t="s">
        <v>1423</v>
      </c>
      <c r="B205" t="str">
        <f t="shared" si="49"/>
        <v>Genevieve</v>
      </c>
      <c r="C205" t="s">
        <v>261</v>
      </c>
      <c r="D205" t="s">
        <v>1424</v>
      </c>
      <c r="E205" t="str">
        <f t="shared" si="50"/>
        <v>Taranto</v>
      </c>
      <c r="F205" t="str">
        <f t="shared" si="51"/>
        <v>GENEVIEVETARANTO</v>
      </c>
      <c r="G205" t="str">
        <f t="shared" si="52"/>
        <v>GENEVIEVETARANTO</v>
      </c>
      <c r="H205" t="str">
        <f t="shared" si="53"/>
        <v>GEN TARANTO</v>
      </c>
      <c r="I205" t="str">
        <f t="shared" si="54"/>
        <v>GEN.T</v>
      </c>
      <c r="J205" t="s">
        <v>32</v>
      </c>
      <c r="K205" t="s">
        <v>1425</v>
      </c>
      <c r="L205" t="s">
        <v>1426</v>
      </c>
      <c r="M205" t="s">
        <v>413</v>
      </c>
      <c r="N205">
        <v>21811</v>
      </c>
      <c r="O205" t="str">
        <f t="shared" si="55"/>
        <v>21811</v>
      </c>
      <c r="P205" t="str">
        <f t="shared" si="48"/>
        <v>4477 Marshall Street, Berlin, MD, 21811</v>
      </c>
      <c r="Q205" t="s">
        <v>1427</v>
      </c>
      <c r="R205" t="str">
        <f t="shared" si="56"/>
        <v>GenevieveWTaranto</v>
      </c>
      <c r="S205" t="str">
        <f t="shared" si="57"/>
        <v>gmail.com</v>
      </c>
      <c r="T205" t="str">
        <f t="shared" si="58"/>
        <v>gmail</v>
      </c>
      <c r="U205" t="str">
        <f t="shared" si="59"/>
        <v>GenevieveWTaranto</v>
      </c>
      <c r="V205" t="s">
        <v>1428</v>
      </c>
      <c r="W205" t="str">
        <f t="shared" si="60"/>
        <v>410-</v>
      </c>
      <c r="X205" t="str">
        <f t="shared" si="61"/>
        <v>629</v>
      </c>
      <c r="Y205" t="str">
        <f t="shared" si="62"/>
        <v>-0583</v>
      </c>
      <c r="Z205" t="str">
        <f>SUBSTITUTE(V205,"-","|",2)</f>
        <v>410-629|0583</v>
      </c>
      <c r="AA205" t="str">
        <f>LEFT(V205,3)</f>
        <v>410</v>
      </c>
      <c r="AB205" t="str">
        <f>MID(V205,5,3)</f>
        <v>629</v>
      </c>
      <c r="AC205" t="str">
        <f>RIGHT(V205,4)</f>
        <v>0583</v>
      </c>
      <c r="AD205" s="3" t="s">
        <v>1429</v>
      </c>
      <c r="AE205" s="3" t="str">
        <f t="shared" si="63"/>
        <v>168</v>
      </c>
    </row>
    <row r="206" spans="1:31">
      <c r="A206" t="s">
        <v>569</v>
      </c>
      <c r="B206" t="str">
        <f t="shared" si="49"/>
        <v>Edward</v>
      </c>
      <c r="C206" t="s">
        <v>141</v>
      </c>
      <c r="D206" t="s">
        <v>1430</v>
      </c>
      <c r="E206" t="str">
        <f t="shared" si="50"/>
        <v>Kinner</v>
      </c>
      <c r="F206" t="str">
        <f t="shared" si="51"/>
        <v>EDWARDKINNER</v>
      </c>
      <c r="G206" t="str">
        <f t="shared" si="52"/>
        <v>EDWARDKINNER</v>
      </c>
      <c r="H206" t="str">
        <f t="shared" si="53"/>
        <v>EDW KINNER</v>
      </c>
      <c r="I206" t="str">
        <f t="shared" si="54"/>
        <v>EDW.K</v>
      </c>
      <c r="J206" t="s">
        <v>42</v>
      </c>
      <c r="K206" t="s">
        <v>1431</v>
      </c>
      <c r="L206" t="s">
        <v>1384</v>
      </c>
      <c r="M206" t="s">
        <v>1385</v>
      </c>
      <c r="N206">
        <v>72908</v>
      </c>
      <c r="O206" t="str">
        <f t="shared" si="55"/>
        <v>72908</v>
      </c>
      <c r="P206" t="str">
        <f t="shared" si="48"/>
        <v>518 Midway Road, Fort Smith, AR, 72908</v>
      </c>
      <c r="Q206" t="s">
        <v>1432</v>
      </c>
      <c r="R206" t="str">
        <f t="shared" si="56"/>
        <v>EdwardEKinner</v>
      </c>
      <c r="S206" t="str">
        <f t="shared" si="57"/>
        <v>aol.com</v>
      </c>
      <c r="T206" t="str">
        <f t="shared" si="58"/>
        <v>aol</v>
      </c>
      <c r="U206" t="str">
        <f t="shared" si="59"/>
        <v>EdwardEKinner</v>
      </c>
      <c r="V206" t="s">
        <v>1433</v>
      </c>
      <c r="W206" t="str">
        <f t="shared" si="60"/>
        <v>479-</v>
      </c>
      <c r="X206" t="str">
        <f t="shared" si="61"/>
        <v>461</v>
      </c>
      <c r="Y206" t="str">
        <f t="shared" si="62"/>
        <v>-1718</v>
      </c>
      <c r="Z206" t="str">
        <f>SUBSTITUTE(V206,"-","|",2)</f>
        <v>479-461|1718</v>
      </c>
      <c r="AA206" t="str">
        <f>LEFT(V206,3)</f>
        <v>479</v>
      </c>
      <c r="AB206" t="str">
        <f>MID(V206,5,3)</f>
        <v>461</v>
      </c>
      <c r="AC206" t="str">
        <f>RIGHT(V206,4)</f>
        <v>1718</v>
      </c>
      <c r="AD206" s="3" t="s">
        <v>1434</v>
      </c>
      <c r="AE206" s="3" t="str">
        <f t="shared" si="63"/>
        <v>098</v>
      </c>
    </row>
    <row r="207" spans="1:31">
      <c r="A207" t="s">
        <v>83</v>
      </c>
      <c r="B207" t="str">
        <f t="shared" si="49"/>
        <v>Diane</v>
      </c>
      <c r="C207" t="s">
        <v>30</v>
      </c>
      <c r="D207" t="s">
        <v>1435</v>
      </c>
      <c r="E207" t="str">
        <f t="shared" si="50"/>
        <v>Figueroa</v>
      </c>
      <c r="F207" t="str">
        <f t="shared" si="51"/>
        <v>DIANEFIGUEROA</v>
      </c>
      <c r="G207" t="str">
        <f t="shared" si="52"/>
        <v>DIANEFIGUEROA</v>
      </c>
      <c r="H207" t="str">
        <f t="shared" si="53"/>
        <v>DIA FIGUEROA</v>
      </c>
      <c r="I207" t="str">
        <f t="shared" si="54"/>
        <v>DIA.F</v>
      </c>
      <c r="J207" t="s">
        <v>32</v>
      </c>
      <c r="K207" t="s">
        <v>1436</v>
      </c>
      <c r="L207" t="s">
        <v>1437</v>
      </c>
      <c r="M207" t="s">
        <v>62</v>
      </c>
      <c r="N207">
        <v>22101</v>
      </c>
      <c r="O207" t="str">
        <f t="shared" si="55"/>
        <v>22101</v>
      </c>
      <c r="P207" t="str">
        <f t="shared" si="48"/>
        <v>4050 Perine Street, Mclean, VA, 22101</v>
      </c>
      <c r="Q207" t="s">
        <v>1438</v>
      </c>
      <c r="R207" t="str">
        <f t="shared" si="56"/>
        <v>DianeJFigueroa</v>
      </c>
      <c r="S207" t="str">
        <f t="shared" si="57"/>
        <v>aol.com</v>
      </c>
      <c r="T207" t="str">
        <f t="shared" si="58"/>
        <v>aol</v>
      </c>
      <c r="U207" t="str">
        <f t="shared" si="59"/>
        <v>DianeJFigueroa</v>
      </c>
      <c r="V207" t="s">
        <v>1439</v>
      </c>
      <c r="W207" t="str">
        <f t="shared" si="60"/>
        <v>703-</v>
      </c>
      <c r="X207" t="str">
        <f t="shared" si="61"/>
        <v>762</v>
      </c>
      <c r="Y207" t="str">
        <f t="shared" si="62"/>
        <v>-0541</v>
      </c>
      <c r="Z207" t="str">
        <f>SUBSTITUTE(V207,"-","|",2)</f>
        <v>703-762|0541</v>
      </c>
      <c r="AA207" t="str">
        <f>LEFT(V207,3)</f>
        <v>703</v>
      </c>
      <c r="AB207" t="str">
        <f>MID(V207,5,3)</f>
        <v>762</v>
      </c>
      <c r="AC207" t="str">
        <f>RIGHT(V207,4)</f>
        <v>0541</v>
      </c>
      <c r="AD207" s="3" t="s">
        <v>1440</v>
      </c>
      <c r="AE207" s="3" t="str">
        <f t="shared" si="63"/>
        <v>840</v>
      </c>
    </row>
    <row r="208" spans="1:31">
      <c r="A208" t="s">
        <v>1441</v>
      </c>
      <c r="B208" t="str">
        <f t="shared" si="49"/>
        <v>Phyllis</v>
      </c>
      <c r="C208" t="s">
        <v>182</v>
      </c>
      <c r="D208" t="s">
        <v>410</v>
      </c>
      <c r="E208" t="str">
        <f t="shared" si="50"/>
        <v>Brown</v>
      </c>
      <c r="F208" t="str">
        <f t="shared" si="51"/>
        <v>PHYLLISBROWN</v>
      </c>
      <c r="G208" t="str">
        <f t="shared" si="52"/>
        <v>PHYLLISBROWN</v>
      </c>
      <c r="H208" t="str">
        <f t="shared" si="53"/>
        <v>PHY BROWN</v>
      </c>
      <c r="I208" t="str">
        <f t="shared" si="54"/>
        <v>PHY.B</v>
      </c>
      <c r="J208" t="s">
        <v>32</v>
      </c>
      <c r="K208" t="s">
        <v>1442</v>
      </c>
      <c r="L208" t="s">
        <v>1443</v>
      </c>
      <c r="M208" t="s">
        <v>1444</v>
      </c>
      <c r="N208">
        <v>20016</v>
      </c>
      <c r="O208" t="str">
        <f t="shared" si="55"/>
        <v>20016</v>
      </c>
      <c r="P208" t="str">
        <f t="shared" si="48"/>
        <v>2236 Massachusetts Avenue, Washington, DC, 20016</v>
      </c>
      <c r="Q208" t="s">
        <v>1445</v>
      </c>
      <c r="R208" t="str">
        <f t="shared" si="56"/>
        <v>PhyllisCBrown</v>
      </c>
      <c r="S208" t="str">
        <f t="shared" si="57"/>
        <v>hotmail.com</v>
      </c>
      <c r="T208" t="str">
        <f t="shared" si="58"/>
        <v>hotmail</v>
      </c>
      <c r="U208" t="str">
        <f t="shared" si="59"/>
        <v>PhyllisCBrown</v>
      </c>
      <c r="V208" t="s">
        <v>1446</v>
      </c>
      <c r="W208" t="str">
        <f t="shared" si="60"/>
        <v>202-</v>
      </c>
      <c r="X208" t="str">
        <f t="shared" si="61"/>
        <v>686</v>
      </c>
      <c r="Y208" t="str">
        <f t="shared" si="62"/>
        <v>-6356</v>
      </c>
      <c r="Z208" t="str">
        <f>SUBSTITUTE(V208,"-","|",2)</f>
        <v>202-686|6356</v>
      </c>
      <c r="AA208" t="str">
        <f>LEFT(V208,3)</f>
        <v>202</v>
      </c>
      <c r="AB208" t="str">
        <f>MID(V208,5,3)</f>
        <v>686</v>
      </c>
      <c r="AC208" t="str">
        <f>RIGHT(V208,4)</f>
        <v>6356</v>
      </c>
      <c r="AD208" s="3" t="s">
        <v>1447</v>
      </c>
      <c r="AE208" s="3" t="str">
        <f t="shared" si="63"/>
        <v>8910</v>
      </c>
    </row>
    <row r="209" spans="1:31">
      <c r="A209" t="s">
        <v>1448</v>
      </c>
      <c r="B209" t="str">
        <f t="shared" si="49"/>
        <v>Todd</v>
      </c>
      <c r="C209" t="s">
        <v>343</v>
      </c>
      <c r="D209" t="s">
        <v>1449</v>
      </c>
      <c r="E209" t="str">
        <f t="shared" si="50"/>
        <v>Hooker</v>
      </c>
      <c r="F209" t="str">
        <f t="shared" si="51"/>
        <v>TODDHOOKER</v>
      </c>
      <c r="G209" t="str">
        <f t="shared" si="52"/>
        <v>TODDHOOKER</v>
      </c>
      <c r="H209" t="str">
        <f t="shared" si="53"/>
        <v>TOD HOOKER</v>
      </c>
      <c r="I209" t="str">
        <f t="shared" si="54"/>
        <v>TOD.H</v>
      </c>
      <c r="J209" t="s">
        <v>42</v>
      </c>
      <c r="K209" t="s">
        <v>1450</v>
      </c>
      <c r="L209" t="s">
        <v>300</v>
      </c>
      <c r="M209" t="s">
        <v>301</v>
      </c>
      <c r="N209">
        <v>43215</v>
      </c>
      <c r="O209" t="str">
        <f t="shared" si="55"/>
        <v>43215</v>
      </c>
      <c r="P209" t="str">
        <f t="shared" si="48"/>
        <v>3164 Collins Avenue, Columbus, OH, 43215</v>
      </c>
      <c r="Q209" t="s">
        <v>1451</v>
      </c>
      <c r="R209" t="str">
        <f t="shared" si="56"/>
        <v>ToddLHooker</v>
      </c>
      <c r="S209" t="str">
        <f t="shared" si="57"/>
        <v>gmail.com</v>
      </c>
      <c r="T209" t="str">
        <f t="shared" si="58"/>
        <v>gmail</v>
      </c>
      <c r="U209" t="str">
        <f t="shared" si="59"/>
        <v>ToddLHooker</v>
      </c>
      <c r="V209" t="s">
        <v>1452</v>
      </c>
      <c r="W209" t="str">
        <f t="shared" si="60"/>
        <v>614-</v>
      </c>
      <c r="X209" t="str">
        <f t="shared" si="61"/>
        <v>782</v>
      </c>
      <c r="Y209" t="str">
        <f t="shared" si="62"/>
        <v>-6925</v>
      </c>
      <c r="Z209" t="str">
        <f>SUBSTITUTE(V209,"-","|",2)</f>
        <v>614-782|6925</v>
      </c>
      <c r="AA209" t="str">
        <f>LEFT(V209,3)</f>
        <v>614</v>
      </c>
      <c r="AB209" t="str">
        <f>MID(V209,5,3)</f>
        <v>782</v>
      </c>
      <c r="AC209" t="str">
        <f>RIGHT(V209,4)</f>
        <v>6925</v>
      </c>
      <c r="AD209" s="3" t="s">
        <v>1453</v>
      </c>
      <c r="AE209" s="3" t="str">
        <f t="shared" si="63"/>
        <v>7779</v>
      </c>
    </row>
    <row r="210" spans="1:31">
      <c r="A210" t="s">
        <v>1454</v>
      </c>
      <c r="B210" t="str">
        <f t="shared" si="49"/>
        <v>Rhea</v>
      </c>
      <c r="C210" t="s">
        <v>297</v>
      </c>
      <c r="D210" t="s">
        <v>1455</v>
      </c>
      <c r="E210" t="str">
        <f t="shared" si="50"/>
        <v>Dick</v>
      </c>
      <c r="F210" t="str">
        <f t="shared" si="51"/>
        <v>RHEADICK</v>
      </c>
      <c r="G210" t="str">
        <f t="shared" si="52"/>
        <v>RHEADICK</v>
      </c>
      <c r="H210" t="str">
        <f t="shared" si="53"/>
        <v>RHE DICK</v>
      </c>
      <c r="I210" t="str">
        <f t="shared" si="54"/>
        <v>RHE.D</v>
      </c>
      <c r="J210" t="s">
        <v>32</v>
      </c>
      <c r="K210" t="s">
        <v>1456</v>
      </c>
      <c r="L210" t="s">
        <v>1457</v>
      </c>
      <c r="M210" t="s">
        <v>161</v>
      </c>
      <c r="N210">
        <v>48075</v>
      </c>
      <c r="O210" t="str">
        <f t="shared" si="55"/>
        <v>48075</v>
      </c>
      <c r="P210" t="str">
        <f t="shared" si="48"/>
        <v>3813 Prudence Street, Southfield, MI, 48075</v>
      </c>
      <c r="Q210" t="s">
        <v>1458</v>
      </c>
      <c r="R210" t="str">
        <f t="shared" si="56"/>
        <v>RheaTDick</v>
      </c>
      <c r="S210" t="str">
        <f t="shared" si="57"/>
        <v>hotmail.com</v>
      </c>
      <c r="T210" t="str">
        <f t="shared" si="58"/>
        <v>hotmail</v>
      </c>
      <c r="U210" t="str">
        <f t="shared" si="59"/>
        <v>RheaTDick</v>
      </c>
      <c r="V210" t="s">
        <v>1459</v>
      </c>
      <c r="W210" t="str">
        <f t="shared" si="60"/>
        <v>313-</v>
      </c>
      <c r="X210" t="str">
        <f t="shared" si="61"/>
        <v>321</v>
      </c>
      <c r="Y210" t="str">
        <f t="shared" si="62"/>
        <v>-8117</v>
      </c>
      <c r="Z210" t="str">
        <f>SUBSTITUTE(V210,"-","|",2)</f>
        <v>313-321|8117</v>
      </c>
      <c r="AA210" t="str">
        <f>LEFT(V210,3)</f>
        <v>313</v>
      </c>
      <c r="AB210" t="str">
        <f>MID(V210,5,3)</f>
        <v>321</v>
      </c>
      <c r="AC210" t="str">
        <f>RIGHT(V210,4)</f>
        <v>8117</v>
      </c>
      <c r="AD210" s="3" t="s">
        <v>1460</v>
      </c>
      <c r="AE210" s="3" t="str">
        <f t="shared" si="63"/>
        <v>105</v>
      </c>
    </row>
    <row r="211" spans="1:31">
      <c r="A211" t="s">
        <v>957</v>
      </c>
      <c r="B211" t="str">
        <f t="shared" si="49"/>
        <v>Teresa</v>
      </c>
      <c r="C211" t="s">
        <v>297</v>
      </c>
      <c r="D211" t="s">
        <v>1461</v>
      </c>
      <c r="E211" t="str">
        <f t="shared" si="50"/>
        <v>Payne</v>
      </c>
      <c r="F211" t="str">
        <f t="shared" si="51"/>
        <v>TERESAPAYNE</v>
      </c>
      <c r="G211" t="str">
        <f t="shared" si="52"/>
        <v>TERESAPAYNE</v>
      </c>
      <c r="H211" t="str">
        <f t="shared" si="53"/>
        <v>TER PAYNE</v>
      </c>
      <c r="I211" t="str">
        <f t="shared" si="54"/>
        <v>TER.P</v>
      </c>
      <c r="J211" t="s">
        <v>32</v>
      </c>
      <c r="K211" t="s">
        <v>1462</v>
      </c>
      <c r="L211" t="s">
        <v>1463</v>
      </c>
      <c r="M211" t="s">
        <v>62</v>
      </c>
      <c r="N211">
        <v>23060</v>
      </c>
      <c r="O211" t="str">
        <f t="shared" si="55"/>
        <v>23060</v>
      </c>
      <c r="P211" t="str">
        <f t="shared" si="48"/>
        <v>3200 Melody Lane, Glen Allen, VA, 23060</v>
      </c>
      <c r="Q211" t="s">
        <v>1464</v>
      </c>
      <c r="R211" t="str">
        <f t="shared" si="56"/>
        <v>TeresaTPayne</v>
      </c>
      <c r="S211" t="str">
        <f t="shared" si="57"/>
        <v>aol.com</v>
      </c>
      <c r="T211" t="str">
        <f t="shared" si="58"/>
        <v>aol</v>
      </c>
      <c r="U211" t="str">
        <f t="shared" si="59"/>
        <v>TeresaTPayne</v>
      </c>
      <c r="V211" t="s">
        <v>1465</v>
      </c>
      <c r="W211" t="str">
        <f t="shared" si="60"/>
        <v>804-</v>
      </c>
      <c r="X211" t="str">
        <f t="shared" si="61"/>
        <v>349</v>
      </c>
      <c r="Y211" t="str">
        <f t="shared" si="62"/>
        <v>-2459</v>
      </c>
      <c r="Z211" t="str">
        <f>SUBSTITUTE(V211,"-","|",2)</f>
        <v>804-349|2459</v>
      </c>
      <c r="AA211" t="str">
        <f>LEFT(V211,3)</f>
        <v>804</v>
      </c>
      <c r="AB211" t="str">
        <f>MID(V211,5,3)</f>
        <v>349</v>
      </c>
      <c r="AC211" t="str">
        <f>RIGHT(V211,4)</f>
        <v>2459</v>
      </c>
      <c r="AD211" s="3" t="s">
        <v>1466</v>
      </c>
      <c r="AE211" s="3" t="str">
        <f t="shared" si="63"/>
        <v>061</v>
      </c>
    </row>
    <row r="212" spans="1:31">
      <c r="A212" t="s">
        <v>1467</v>
      </c>
      <c r="B212" t="str">
        <f t="shared" si="49"/>
        <v>Shawn</v>
      </c>
      <c r="C212" t="s">
        <v>58</v>
      </c>
      <c r="D212" t="s">
        <v>1468</v>
      </c>
      <c r="E212" t="str">
        <f t="shared" si="50"/>
        <v>Solomon</v>
      </c>
      <c r="F212" t="str">
        <f t="shared" si="51"/>
        <v>SHAWNSOLOMON</v>
      </c>
      <c r="G212" t="str">
        <f t="shared" si="52"/>
        <v>SHAWNSOLOMON</v>
      </c>
      <c r="H212" t="str">
        <f t="shared" si="53"/>
        <v>SHA SOLOMON</v>
      </c>
      <c r="I212" t="str">
        <f t="shared" si="54"/>
        <v>SHA.S</v>
      </c>
      <c r="J212" t="s">
        <v>42</v>
      </c>
      <c r="K212" t="s">
        <v>1469</v>
      </c>
      <c r="L212" t="s">
        <v>1470</v>
      </c>
      <c r="M212" t="s">
        <v>104</v>
      </c>
      <c r="N212">
        <v>13122</v>
      </c>
      <c r="O212" t="str">
        <f t="shared" si="55"/>
        <v>13122</v>
      </c>
      <c r="P212" t="str">
        <f t="shared" si="48"/>
        <v>258 Confederate Drive, New Woodstock, NY, 13122</v>
      </c>
      <c r="Q212" t="s">
        <v>1471</v>
      </c>
      <c r="R212" t="str">
        <f t="shared" si="56"/>
        <v>ShawnMSolomon</v>
      </c>
      <c r="S212" t="str">
        <f t="shared" si="57"/>
        <v>gmail.com</v>
      </c>
      <c r="T212" t="str">
        <f t="shared" si="58"/>
        <v>gmail</v>
      </c>
      <c r="U212" t="str">
        <f t="shared" si="59"/>
        <v>ShawnMSolomon</v>
      </c>
      <c r="V212" t="s">
        <v>1472</v>
      </c>
      <c r="W212" t="str">
        <f t="shared" si="60"/>
        <v>315-</v>
      </c>
      <c r="X212" t="str">
        <f t="shared" si="61"/>
        <v>662</v>
      </c>
      <c r="Y212" t="str">
        <f t="shared" si="62"/>
        <v>-5924</v>
      </c>
      <c r="Z212" t="str">
        <f>SUBSTITUTE(V212,"-","|",2)</f>
        <v>315-662|5924</v>
      </c>
      <c r="AA212" t="str">
        <f>LEFT(V212,3)</f>
        <v>315</v>
      </c>
      <c r="AB212" t="str">
        <f>MID(V212,5,3)</f>
        <v>662</v>
      </c>
      <c r="AC212" t="str">
        <f>RIGHT(V212,4)</f>
        <v>5924</v>
      </c>
      <c r="AD212" s="3" t="s">
        <v>1473</v>
      </c>
      <c r="AE212" s="3" t="str">
        <f t="shared" si="63"/>
        <v>546</v>
      </c>
    </row>
    <row r="213" spans="1:31">
      <c r="A213" t="s">
        <v>1474</v>
      </c>
      <c r="B213" t="str">
        <f t="shared" si="49"/>
        <v>Leonard</v>
      </c>
      <c r="C213" t="s">
        <v>270</v>
      </c>
      <c r="D213" t="s">
        <v>1475</v>
      </c>
      <c r="E213" t="str">
        <f t="shared" si="50"/>
        <v>Connolly</v>
      </c>
      <c r="F213" t="str">
        <f t="shared" si="51"/>
        <v>LEONARDCONNOLLY</v>
      </c>
      <c r="G213" t="str">
        <f t="shared" si="52"/>
        <v>LEONARDCONNOLLY</v>
      </c>
      <c r="H213" t="str">
        <f t="shared" si="53"/>
        <v>LEO CONNOLLY</v>
      </c>
      <c r="I213" t="str">
        <f t="shared" si="54"/>
        <v>LEO.C</v>
      </c>
      <c r="J213" t="s">
        <v>42</v>
      </c>
      <c r="K213" t="s">
        <v>1476</v>
      </c>
      <c r="L213" t="s">
        <v>1477</v>
      </c>
      <c r="M213" t="s">
        <v>538</v>
      </c>
      <c r="N213">
        <v>18974</v>
      </c>
      <c r="O213" t="str">
        <f t="shared" si="55"/>
        <v>18974</v>
      </c>
      <c r="P213" t="str">
        <f t="shared" si="48"/>
        <v>1601 Quincy Street, Warminster, PA, 18974</v>
      </c>
      <c r="Q213" t="s">
        <v>1478</v>
      </c>
      <c r="R213" t="str">
        <f t="shared" si="56"/>
        <v>LeonardVConnolly</v>
      </c>
      <c r="S213" t="str">
        <f t="shared" si="57"/>
        <v>gmail.com</v>
      </c>
      <c r="T213" t="str">
        <f t="shared" si="58"/>
        <v>gmail</v>
      </c>
      <c r="U213" t="str">
        <f t="shared" si="59"/>
        <v>LeonardVConnolly</v>
      </c>
      <c r="V213" t="s">
        <v>1479</v>
      </c>
      <c r="W213" t="str">
        <f t="shared" si="60"/>
        <v>267-</v>
      </c>
      <c r="X213" t="str">
        <f t="shared" si="61"/>
        <v>497</v>
      </c>
      <c r="Y213" t="str">
        <f t="shared" si="62"/>
        <v>-5517</v>
      </c>
      <c r="Z213" t="str">
        <f>SUBSTITUTE(V213,"-","|",2)</f>
        <v>267-497|5517</v>
      </c>
      <c r="AA213" t="str">
        <f>LEFT(V213,3)</f>
        <v>267</v>
      </c>
      <c r="AB213" t="str">
        <f>MID(V213,5,3)</f>
        <v>497</v>
      </c>
      <c r="AC213" t="str">
        <f>RIGHT(V213,4)</f>
        <v>5517</v>
      </c>
      <c r="AD213" s="3" t="s">
        <v>1480</v>
      </c>
      <c r="AE213" s="3" t="str">
        <f t="shared" si="63"/>
        <v>7118</v>
      </c>
    </row>
    <row r="214" spans="1:31">
      <c r="A214" t="s">
        <v>1481</v>
      </c>
      <c r="B214" t="str">
        <f t="shared" si="49"/>
        <v>Beulah</v>
      </c>
      <c r="C214" t="s">
        <v>58</v>
      </c>
      <c r="D214" t="s">
        <v>1482</v>
      </c>
      <c r="E214" t="str">
        <f t="shared" si="50"/>
        <v>Garnett</v>
      </c>
      <c r="F214" t="str">
        <f t="shared" si="51"/>
        <v>BEULAHGARNETT</v>
      </c>
      <c r="G214" t="str">
        <f t="shared" si="52"/>
        <v>BEULAHGARNETT</v>
      </c>
      <c r="H214" t="str">
        <f t="shared" si="53"/>
        <v>BEU GARNETT</v>
      </c>
      <c r="I214" t="str">
        <f t="shared" si="54"/>
        <v>BEU.G</v>
      </c>
      <c r="J214" t="s">
        <v>32</v>
      </c>
      <c r="K214" t="s">
        <v>1483</v>
      </c>
      <c r="L214" t="s">
        <v>1484</v>
      </c>
      <c r="M214" t="s">
        <v>482</v>
      </c>
      <c r="N214">
        <v>73102</v>
      </c>
      <c r="O214" t="str">
        <f t="shared" si="55"/>
        <v>73102</v>
      </c>
      <c r="P214" t="str">
        <f t="shared" si="48"/>
        <v>3843 Musgrave Street, Oklahoma City, OK, 73102</v>
      </c>
      <c r="Q214" t="s">
        <v>1485</v>
      </c>
      <c r="R214" t="str">
        <f t="shared" si="56"/>
        <v>BeulahMGarnett</v>
      </c>
      <c r="S214" t="str">
        <f t="shared" si="57"/>
        <v>gmail.com</v>
      </c>
      <c r="T214" t="str">
        <f t="shared" si="58"/>
        <v>gmail</v>
      </c>
      <c r="U214" t="str">
        <f t="shared" si="59"/>
        <v>BeulahMGarnett</v>
      </c>
      <c r="V214" t="s">
        <v>1486</v>
      </c>
      <c r="W214" t="str">
        <f t="shared" si="60"/>
        <v>405-</v>
      </c>
      <c r="X214" t="str">
        <f t="shared" si="61"/>
        <v>232</v>
      </c>
      <c r="Y214" t="str">
        <f t="shared" si="62"/>
        <v>-5203</v>
      </c>
      <c r="Z214" t="str">
        <f>SUBSTITUTE(V214,"-","|",2)</f>
        <v>405-232|5203</v>
      </c>
      <c r="AA214" t="str">
        <f>LEFT(V214,3)</f>
        <v>405</v>
      </c>
      <c r="AB214" t="str">
        <f>MID(V214,5,3)</f>
        <v>232</v>
      </c>
      <c r="AC214" t="str">
        <f>RIGHT(V214,4)</f>
        <v>5203</v>
      </c>
      <c r="AD214" s="3" t="s">
        <v>1487</v>
      </c>
      <c r="AE214" s="3" t="str">
        <f t="shared" si="63"/>
        <v>6160</v>
      </c>
    </row>
    <row r="215" spans="1:31">
      <c r="A215" t="s">
        <v>319</v>
      </c>
      <c r="B215" t="str">
        <f t="shared" si="49"/>
        <v>Gene</v>
      </c>
      <c r="C215" t="s">
        <v>297</v>
      </c>
      <c r="D215" t="s">
        <v>1488</v>
      </c>
      <c r="E215" t="str">
        <f t="shared" si="50"/>
        <v>Yelle</v>
      </c>
      <c r="F215" t="str">
        <f t="shared" si="51"/>
        <v>GENEYELLE</v>
      </c>
      <c r="G215" t="str">
        <f t="shared" si="52"/>
        <v>GENEYELLE</v>
      </c>
      <c r="H215" t="str">
        <f t="shared" si="53"/>
        <v>GEN YELLE</v>
      </c>
      <c r="I215" t="str">
        <f t="shared" si="54"/>
        <v>GEN.Y</v>
      </c>
      <c r="J215" t="s">
        <v>42</v>
      </c>
      <c r="K215" t="s">
        <v>1489</v>
      </c>
      <c r="L215" t="s">
        <v>1490</v>
      </c>
      <c r="M215" t="s">
        <v>177</v>
      </c>
      <c r="N215">
        <v>38115</v>
      </c>
      <c r="O215" t="str">
        <f t="shared" si="55"/>
        <v>38115</v>
      </c>
      <c r="P215" t="str">
        <f t="shared" si="48"/>
        <v>3303 Woodridge Lane, Memphis, TN, 38115</v>
      </c>
      <c r="Q215" t="s">
        <v>1491</v>
      </c>
      <c r="R215" t="str">
        <f t="shared" si="56"/>
        <v>GeneTYelle</v>
      </c>
      <c r="S215" t="str">
        <f t="shared" si="57"/>
        <v>gmail.com</v>
      </c>
      <c r="T215" t="str">
        <f t="shared" si="58"/>
        <v>gmail</v>
      </c>
      <c r="U215" t="str">
        <f t="shared" si="59"/>
        <v>GeneTYelle</v>
      </c>
      <c r="V215" t="s">
        <v>1492</v>
      </c>
      <c r="W215" t="str">
        <f t="shared" si="60"/>
        <v>901-</v>
      </c>
      <c r="X215" t="str">
        <f t="shared" si="61"/>
        <v>312</v>
      </c>
      <c r="Y215" t="str">
        <f t="shared" si="62"/>
        <v>-4432</v>
      </c>
      <c r="Z215" t="str">
        <f>SUBSTITUTE(V215,"-","|",2)</f>
        <v>901-312|4432</v>
      </c>
      <c r="AA215" t="str">
        <f>LEFT(V215,3)</f>
        <v>901</v>
      </c>
      <c r="AB215" t="str">
        <f>MID(V215,5,3)</f>
        <v>312</v>
      </c>
      <c r="AC215" t="str">
        <f>RIGHT(V215,4)</f>
        <v>4432</v>
      </c>
      <c r="AD215" s="3" t="s">
        <v>1493</v>
      </c>
      <c r="AE215" s="3" t="str">
        <f t="shared" si="63"/>
        <v>537</v>
      </c>
    </row>
    <row r="216" spans="1:31">
      <c r="A216" t="s">
        <v>115</v>
      </c>
      <c r="B216" t="str">
        <f t="shared" si="49"/>
        <v>Shannon</v>
      </c>
      <c r="C216" t="s">
        <v>365</v>
      </c>
      <c r="D216" t="s">
        <v>1494</v>
      </c>
      <c r="E216" t="str">
        <f t="shared" si="50"/>
        <v>Akers</v>
      </c>
      <c r="F216" t="str">
        <f t="shared" si="51"/>
        <v>SHANNONAKERS</v>
      </c>
      <c r="G216" t="str">
        <f t="shared" si="52"/>
        <v>SHANNONAKERS</v>
      </c>
      <c r="H216" t="str">
        <f t="shared" si="53"/>
        <v>SHA AKERS</v>
      </c>
      <c r="I216" t="str">
        <f t="shared" si="54"/>
        <v>SHA.A</v>
      </c>
      <c r="J216" t="s">
        <v>32</v>
      </c>
      <c r="K216" t="s">
        <v>1495</v>
      </c>
      <c r="L216" t="s">
        <v>1496</v>
      </c>
      <c r="M216" t="s">
        <v>482</v>
      </c>
      <c r="N216">
        <v>73942</v>
      </c>
      <c r="O216" t="str">
        <f t="shared" si="55"/>
        <v>73942</v>
      </c>
      <c r="P216" t="str">
        <f t="shared" si="48"/>
        <v>4823 Simpson Square, Guymon, OK, 73942</v>
      </c>
      <c r="Q216" t="s">
        <v>1497</v>
      </c>
      <c r="R216" t="str">
        <f t="shared" si="56"/>
        <v>ShannonGAkers</v>
      </c>
      <c r="S216" t="str">
        <f t="shared" si="57"/>
        <v>hotmail.com</v>
      </c>
      <c r="T216" t="str">
        <f t="shared" si="58"/>
        <v>hotmail</v>
      </c>
      <c r="U216" t="str">
        <f t="shared" si="59"/>
        <v>ShannonGAkers</v>
      </c>
      <c r="V216" t="s">
        <v>1498</v>
      </c>
      <c r="W216" t="str">
        <f t="shared" si="60"/>
        <v>580-</v>
      </c>
      <c r="X216" t="str">
        <f t="shared" si="61"/>
        <v>643</v>
      </c>
      <c r="Y216" t="str">
        <f t="shared" si="62"/>
        <v>-5025</v>
      </c>
      <c r="Z216" t="str">
        <f>SUBSTITUTE(V216,"-","|",2)</f>
        <v>580-643|5025</v>
      </c>
      <c r="AA216" t="str">
        <f>LEFT(V216,3)</f>
        <v>580</v>
      </c>
      <c r="AB216" t="str">
        <f>MID(V216,5,3)</f>
        <v>643</v>
      </c>
      <c r="AC216" t="str">
        <f>RIGHT(V216,4)</f>
        <v>5025</v>
      </c>
      <c r="AD216" s="3" t="s">
        <v>1499</v>
      </c>
      <c r="AE216" s="3" t="str">
        <f t="shared" si="63"/>
        <v>8780</v>
      </c>
    </row>
    <row r="217" spans="1:31">
      <c r="A217" t="s">
        <v>189</v>
      </c>
      <c r="B217" t="str">
        <f t="shared" si="49"/>
        <v>James</v>
      </c>
      <c r="C217" t="s">
        <v>67</v>
      </c>
      <c r="D217" t="s">
        <v>1500</v>
      </c>
      <c r="E217" t="str">
        <f t="shared" si="50"/>
        <v>Mccue</v>
      </c>
      <c r="F217" t="str">
        <f t="shared" si="51"/>
        <v>JAMESMCCUE</v>
      </c>
      <c r="G217" t="str">
        <f t="shared" si="52"/>
        <v>JAMESMCCUE</v>
      </c>
      <c r="H217" t="str">
        <f t="shared" si="53"/>
        <v>JAM MCCUE</v>
      </c>
      <c r="I217" t="str">
        <f t="shared" si="54"/>
        <v>JAM.M</v>
      </c>
      <c r="J217" t="s">
        <v>42</v>
      </c>
      <c r="K217" t="s">
        <v>1501</v>
      </c>
      <c r="L217" t="s">
        <v>1418</v>
      </c>
      <c r="M217" t="s">
        <v>1419</v>
      </c>
      <c r="N217">
        <v>19720</v>
      </c>
      <c r="O217" t="str">
        <f t="shared" si="55"/>
        <v>19720</v>
      </c>
      <c r="P217" t="str">
        <f t="shared" si="48"/>
        <v>844 Argonne Street, New Castle, DE, 19720</v>
      </c>
      <c r="Q217" t="s">
        <v>1502</v>
      </c>
      <c r="R217" t="str">
        <f t="shared" si="56"/>
        <v>JamesDMcCue</v>
      </c>
      <c r="S217" t="str">
        <f t="shared" si="57"/>
        <v>aol.com</v>
      </c>
      <c r="T217" t="str">
        <f t="shared" si="58"/>
        <v>aol</v>
      </c>
      <c r="U217" t="str">
        <f t="shared" si="59"/>
        <v>JamesDMcCue</v>
      </c>
      <c r="V217" t="s">
        <v>1503</v>
      </c>
      <c r="W217" t="str">
        <f t="shared" si="60"/>
        <v>302-</v>
      </c>
      <c r="X217" t="str">
        <f t="shared" si="61"/>
        <v>323</v>
      </c>
      <c r="Y217" t="str">
        <f t="shared" si="62"/>
        <v>-7123</v>
      </c>
      <c r="Z217" t="str">
        <f>SUBSTITUTE(V217,"-","|",2)</f>
        <v>302-323|7123</v>
      </c>
      <c r="AA217" t="str">
        <f>LEFT(V217,3)</f>
        <v>302</v>
      </c>
      <c r="AB217" t="str">
        <f>MID(V217,5,3)</f>
        <v>323</v>
      </c>
      <c r="AC217" t="str">
        <f>RIGHT(V217,4)</f>
        <v>7123</v>
      </c>
      <c r="AD217" s="3" t="s">
        <v>1504</v>
      </c>
      <c r="AE217" s="3" t="str">
        <f t="shared" si="63"/>
        <v>111</v>
      </c>
    </row>
    <row r="218" spans="1:31">
      <c r="A218" t="s">
        <v>1505</v>
      </c>
      <c r="B218" t="str">
        <f t="shared" si="49"/>
        <v>Fernando</v>
      </c>
      <c r="C218" t="s">
        <v>30</v>
      </c>
      <c r="D218" t="s">
        <v>1506</v>
      </c>
      <c r="E218" t="str">
        <f t="shared" si="50"/>
        <v>West</v>
      </c>
      <c r="F218" t="str">
        <f t="shared" si="51"/>
        <v>FERNANDOWEST</v>
      </c>
      <c r="G218" t="str">
        <f t="shared" si="52"/>
        <v>FERNANDOWEST</v>
      </c>
      <c r="H218" t="str">
        <f t="shared" si="53"/>
        <v>FER WEST</v>
      </c>
      <c r="I218" t="str">
        <f t="shared" si="54"/>
        <v>FER.W</v>
      </c>
      <c r="J218" t="s">
        <v>42</v>
      </c>
      <c r="K218" t="s">
        <v>1507</v>
      </c>
      <c r="L218" t="s">
        <v>1508</v>
      </c>
      <c r="M218" t="s">
        <v>45</v>
      </c>
      <c r="N218">
        <v>94612</v>
      </c>
      <c r="O218" t="str">
        <f t="shared" si="55"/>
        <v>94612</v>
      </c>
      <c r="P218" t="str">
        <f t="shared" si="48"/>
        <v>3195 Davis Avenue, Oakland, CA, 94612</v>
      </c>
      <c r="Q218" t="s">
        <v>1509</v>
      </c>
      <c r="R218" t="str">
        <f t="shared" si="56"/>
        <v>FernandoJWest</v>
      </c>
      <c r="S218" t="str">
        <f t="shared" si="57"/>
        <v>hotmail.com</v>
      </c>
      <c r="T218" t="str">
        <f t="shared" si="58"/>
        <v>hotmail</v>
      </c>
      <c r="U218" t="str">
        <f t="shared" si="59"/>
        <v>FernandoJWest</v>
      </c>
      <c r="V218" t="s">
        <v>1510</v>
      </c>
      <c r="W218" t="str">
        <f t="shared" si="60"/>
        <v>707-</v>
      </c>
      <c r="X218" t="str">
        <f t="shared" si="61"/>
        <v>710</v>
      </c>
      <c r="Y218" t="str">
        <f t="shared" si="62"/>
        <v>-1679</v>
      </c>
      <c r="Z218" t="str">
        <f>SUBSTITUTE(V218,"-","|",2)</f>
        <v>707-710|1679</v>
      </c>
      <c r="AA218" t="str">
        <f>LEFT(V218,3)</f>
        <v>707</v>
      </c>
      <c r="AB218" t="str">
        <f>MID(V218,5,3)</f>
        <v>710</v>
      </c>
      <c r="AC218" t="str">
        <f>RIGHT(V218,4)</f>
        <v>1679</v>
      </c>
      <c r="AD218" s="3" t="s">
        <v>1511</v>
      </c>
      <c r="AE218" s="3" t="str">
        <f t="shared" si="63"/>
        <v>9448</v>
      </c>
    </row>
    <row r="219" spans="1:31">
      <c r="A219" t="s">
        <v>1512</v>
      </c>
      <c r="B219" t="str">
        <f t="shared" si="49"/>
        <v>Della</v>
      </c>
      <c r="C219" t="s">
        <v>30</v>
      </c>
      <c r="D219" t="s">
        <v>1513</v>
      </c>
      <c r="E219" t="str">
        <f t="shared" si="50"/>
        <v>Quillen</v>
      </c>
      <c r="F219" t="str">
        <f t="shared" si="51"/>
        <v>DELLAQUILLEN</v>
      </c>
      <c r="G219" t="str">
        <f t="shared" si="52"/>
        <v>DELLAQUILLEN</v>
      </c>
      <c r="H219" t="str">
        <f t="shared" si="53"/>
        <v>DEL QUILLEN</v>
      </c>
      <c r="I219" t="str">
        <f t="shared" si="54"/>
        <v>DEL.Q</v>
      </c>
      <c r="J219" t="s">
        <v>32</v>
      </c>
      <c r="K219" t="s">
        <v>1514</v>
      </c>
      <c r="L219" t="s">
        <v>1515</v>
      </c>
      <c r="M219" t="s">
        <v>301</v>
      </c>
      <c r="N219">
        <v>45402</v>
      </c>
      <c r="O219" t="str">
        <f t="shared" si="55"/>
        <v>45402</v>
      </c>
      <c r="P219" t="str">
        <f t="shared" si="48"/>
        <v>10 Pursglove Court, Dayton, OH, 45402</v>
      </c>
      <c r="Q219" t="s">
        <v>1516</v>
      </c>
      <c r="R219" t="str">
        <f t="shared" si="56"/>
        <v>DellaJQuillen</v>
      </c>
      <c r="S219" t="str">
        <f t="shared" si="57"/>
        <v>hotmail.com</v>
      </c>
      <c r="T219" t="str">
        <f t="shared" si="58"/>
        <v>hotmail</v>
      </c>
      <c r="U219" t="str">
        <f t="shared" si="59"/>
        <v>DellaJQuillen</v>
      </c>
      <c r="V219" t="s">
        <v>1517</v>
      </c>
      <c r="W219" t="str">
        <f t="shared" si="60"/>
        <v>937-</v>
      </c>
      <c r="X219" t="str">
        <f t="shared" si="61"/>
        <v>334</v>
      </c>
      <c r="Y219" t="str">
        <f t="shared" si="62"/>
        <v>-4086</v>
      </c>
      <c r="Z219" t="str">
        <f>SUBSTITUTE(V219,"-","|",2)</f>
        <v>937-334|4086</v>
      </c>
      <c r="AA219" t="str">
        <f>LEFT(V219,3)</f>
        <v>937</v>
      </c>
      <c r="AB219" t="str">
        <f>MID(V219,5,3)</f>
        <v>334</v>
      </c>
      <c r="AC219" t="str">
        <f>RIGHT(V219,4)</f>
        <v>4086</v>
      </c>
      <c r="AD219" s="3" t="s">
        <v>1518</v>
      </c>
      <c r="AE219" s="3" t="str">
        <f t="shared" si="63"/>
        <v>939</v>
      </c>
    </row>
    <row r="220" spans="1:31">
      <c r="A220" t="s">
        <v>1519</v>
      </c>
      <c r="B220" t="str">
        <f t="shared" si="49"/>
        <v>Dillon</v>
      </c>
      <c r="C220" t="s">
        <v>149</v>
      </c>
      <c r="D220" t="s">
        <v>431</v>
      </c>
      <c r="E220" t="str">
        <f t="shared" si="50"/>
        <v>Williams</v>
      </c>
      <c r="F220" t="str">
        <f t="shared" si="51"/>
        <v>DILLONWILLIAMS</v>
      </c>
      <c r="G220" t="str">
        <f t="shared" si="52"/>
        <v>DILLONWILLIAMS</v>
      </c>
      <c r="H220" t="str">
        <f t="shared" si="53"/>
        <v>DIL WILLIAMS</v>
      </c>
      <c r="I220" t="str">
        <f t="shared" si="54"/>
        <v>DIL.W</v>
      </c>
      <c r="J220" t="s">
        <v>42</v>
      </c>
      <c r="K220" t="s">
        <v>1520</v>
      </c>
      <c r="L220" t="s">
        <v>1443</v>
      </c>
      <c r="M220" t="s">
        <v>1444</v>
      </c>
      <c r="N220">
        <v>20005</v>
      </c>
      <c r="O220" t="str">
        <f t="shared" si="55"/>
        <v>20005</v>
      </c>
      <c r="P220" t="str">
        <f t="shared" si="48"/>
        <v>2622 Rhode Island Avenue, Washington, DC, 20005</v>
      </c>
      <c r="Q220" t="s">
        <v>1521</v>
      </c>
      <c r="R220" t="str">
        <f t="shared" si="56"/>
        <v>DillonPWilliams</v>
      </c>
      <c r="S220" t="str">
        <f t="shared" si="57"/>
        <v>aol.com</v>
      </c>
      <c r="T220" t="str">
        <f t="shared" si="58"/>
        <v>aol</v>
      </c>
      <c r="U220" t="str">
        <f t="shared" si="59"/>
        <v>DillonPWilliams</v>
      </c>
      <c r="V220" t="s">
        <v>1522</v>
      </c>
      <c r="W220" t="str">
        <f t="shared" si="60"/>
        <v>202-</v>
      </c>
      <c r="X220" t="str">
        <f t="shared" si="61"/>
        <v>383</v>
      </c>
      <c r="Y220" t="str">
        <f t="shared" si="62"/>
        <v>-0909</v>
      </c>
      <c r="Z220" t="str">
        <f>SUBSTITUTE(V220,"-","|",2)</f>
        <v>202-383|0909</v>
      </c>
      <c r="AA220" t="str">
        <f>LEFT(V220,3)</f>
        <v>202</v>
      </c>
      <c r="AB220" t="str">
        <f>MID(V220,5,3)</f>
        <v>383</v>
      </c>
      <c r="AC220" t="str">
        <f>RIGHT(V220,4)</f>
        <v>0909</v>
      </c>
      <c r="AD220" s="3" t="s">
        <v>1523</v>
      </c>
      <c r="AE220" s="3" t="str">
        <f t="shared" si="63"/>
        <v>263</v>
      </c>
    </row>
    <row r="221" spans="1:31">
      <c r="A221" t="s">
        <v>1524</v>
      </c>
      <c r="B221" t="str">
        <f t="shared" si="49"/>
        <v>Paul</v>
      </c>
      <c r="C221" t="s">
        <v>40</v>
      </c>
      <c r="D221" t="s">
        <v>535</v>
      </c>
      <c r="E221" t="str">
        <f t="shared" si="50"/>
        <v>Johnson</v>
      </c>
      <c r="F221" t="str">
        <f t="shared" si="51"/>
        <v>PAULJOHNSON</v>
      </c>
      <c r="G221" t="str">
        <f t="shared" si="52"/>
        <v>PAULJOHNSON</v>
      </c>
      <c r="H221" t="str">
        <f t="shared" si="53"/>
        <v>PAU JOHNSON</v>
      </c>
      <c r="I221" t="str">
        <f t="shared" si="54"/>
        <v>PAU.J</v>
      </c>
      <c r="J221" t="s">
        <v>42</v>
      </c>
      <c r="K221" t="s">
        <v>1525</v>
      </c>
      <c r="L221" t="s">
        <v>1526</v>
      </c>
      <c r="M221" t="s">
        <v>538</v>
      </c>
      <c r="N221">
        <v>15323</v>
      </c>
      <c r="O221" t="str">
        <f t="shared" si="55"/>
        <v>15323</v>
      </c>
      <c r="P221" t="str">
        <f t="shared" si="48"/>
        <v>4339 Michigan Avenue, Claysville, PA, 15323</v>
      </c>
      <c r="Q221" t="s">
        <v>1527</v>
      </c>
      <c r="R221" t="str">
        <f t="shared" si="56"/>
        <v>PaulSJohnson</v>
      </c>
      <c r="S221" t="str">
        <f t="shared" si="57"/>
        <v>hotmail.com</v>
      </c>
      <c r="T221" t="str">
        <f t="shared" si="58"/>
        <v>hotmail</v>
      </c>
      <c r="U221" t="str">
        <f t="shared" si="59"/>
        <v>PaulSJohnson</v>
      </c>
      <c r="V221" t="s">
        <v>1528</v>
      </c>
      <c r="W221" t="str">
        <f t="shared" si="60"/>
        <v>724-</v>
      </c>
      <c r="X221" t="str">
        <f t="shared" si="61"/>
        <v>663</v>
      </c>
      <c r="Y221" t="str">
        <f t="shared" si="62"/>
        <v>-1197</v>
      </c>
      <c r="Z221" t="str">
        <f>SUBSTITUTE(V221,"-","|",2)</f>
        <v>724-663|1197</v>
      </c>
      <c r="AA221" t="str">
        <f>LEFT(V221,3)</f>
        <v>724</v>
      </c>
      <c r="AB221" t="str">
        <f>MID(V221,5,3)</f>
        <v>663</v>
      </c>
      <c r="AC221" t="str">
        <f>RIGHT(V221,4)</f>
        <v>1197</v>
      </c>
      <c r="AD221" s="3" t="s">
        <v>1529</v>
      </c>
      <c r="AE221" s="3" t="str">
        <f t="shared" si="63"/>
        <v>8287</v>
      </c>
    </row>
    <row r="222" spans="1:31">
      <c r="A222" t="s">
        <v>1530</v>
      </c>
      <c r="B222" t="str">
        <f t="shared" si="49"/>
        <v>Nicholas</v>
      </c>
      <c r="C222" t="s">
        <v>30</v>
      </c>
      <c r="D222" t="s">
        <v>1531</v>
      </c>
      <c r="E222" t="str">
        <f t="shared" si="50"/>
        <v>Stice</v>
      </c>
      <c r="F222" t="str">
        <f t="shared" si="51"/>
        <v>NICHOLASSTICE</v>
      </c>
      <c r="G222" t="str">
        <f t="shared" si="52"/>
        <v>NICHOLASSTICE</v>
      </c>
      <c r="H222" t="str">
        <f t="shared" si="53"/>
        <v>NIC STICE</v>
      </c>
      <c r="I222" t="str">
        <f t="shared" si="54"/>
        <v>NIC.S</v>
      </c>
      <c r="J222" t="s">
        <v>42</v>
      </c>
      <c r="K222" t="s">
        <v>1532</v>
      </c>
      <c r="L222" t="s">
        <v>1533</v>
      </c>
      <c r="M222" t="s">
        <v>200</v>
      </c>
      <c r="N222">
        <v>33411</v>
      </c>
      <c r="O222" t="str">
        <f t="shared" si="55"/>
        <v>33411</v>
      </c>
      <c r="P222" t="str">
        <f t="shared" si="48"/>
        <v>2973 Mulberry Lane, West Palm Beach, FL, 33411</v>
      </c>
      <c r="Q222" t="s">
        <v>1534</v>
      </c>
      <c r="R222" t="str">
        <f t="shared" si="56"/>
        <v>NicholasJStice</v>
      </c>
      <c r="S222" t="str">
        <f t="shared" si="57"/>
        <v>aol.com</v>
      </c>
      <c r="T222" t="str">
        <f t="shared" si="58"/>
        <v>aol</v>
      </c>
      <c r="U222" t="str">
        <f t="shared" si="59"/>
        <v>NicholasJStice</v>
      </c>
      <c r="V222" t="s">
        <v>1535</v>
      </c>
      <c r="W222" t="str">
        <f t="shared" si="60"/>
        <v>561-</v>
      </c>
      <c r="X222" t="str">
        <f t="shared" si="61"/>
        <v>751</v>
      </c>
      <c r="Y222" t="str">
        <f t="shared" si="62"/>
        <v>-6293</v>
      </c>
      <c r="Z222" t="str">
        <f>SUBSTITUTE(V222,"-","|",2)</f>
        <v>561-751|6293</v>
      </c>
      <c r="AA222" t="str">
        <f>LEFT(V222,3)</f>
        <v>561</v>
      </c>
      <c r="AB222" t="str">
        <f>MID(V222,5,3)</f>
        <v>751</v>
      </c>
      <c r="AC222" t="str">
        <f>RIGHT(V222,4)</f>
        <v>6293</v>
      </c>
      <c r="AD222" s="3" t="s">
        <v>1536</v>
      </c>
      <c r="AE222" s="3" t="str">
        <f t="shared" si="63"/>
        <v>952</v>
      </c>
    </row>
    <row r="223" spans="1:31">
      <c r="A223" t="s">
        <v>1537</v>
      </c>
      <c r="B223" t="str">
        <f t="shared" si="49"/>
        <v>Danny</v>
      </c>
      <c r="C223" t="s">
        <v>58</v>
      </c>
      <c r="D223" t="s">
        <v>1538</v>
      </c>
      <c r="E223" t="str">
        <f t="shared" si="50"/>
        <v>Quesada</v>
      </c>
      <c r="F223" t="str">
        <f t="shared" si="51"/>
        <v>DANNYQUESADA</v>
      </c>
      <c r="G223" t="str">
        <f t="shared" si="52"/>
        <v>DANNYQUESADA</v>
      </c>
      <c r="H223" t="str">
        <f t="shared" si="53"/>
        <v>DAN QUESADA</v>
      </c>
      <c r="I223" t="str">
        <f t="shared" si="54"/>
        <v>DAN.Q</v>
      </c>
      <c r="J223" t="s">
        <v>42</v>
      </c>
      <c r="K223" t="s">
        <v>1539</v>
      </c>
      <c r="L223" t="s">
        <v>1540</v>
      </c>
      <c r="M223" t="s">
        <v>871</v>
      </c>
      <c r="N223">
        <v>98105</v>
      </c>
      <c r="O223" t="str">
        <f t="shared" si="55"/>
        <v>98105</v>
      </c>
      <c r="P223" t="str">
        <f t="shared" si="48"/>
        <v>2249 Elliot Avenue, Seattle, WA, 98105</v>
      </c>
      <c r="Q223" t="s">
        <v>1541</v>
      </c>
      <c r="R223" t="str">
        <f t="shared" si="56"/>
        <v>DannyMQuesada</v>
      </c>
      <c r="S223" t="str">
        <f t="shared" si="57"/>
        <v>hotmail.com</v>
      </c>
      <c r="T223" t="str">
        <f t="shared" si="58"/>
        <v>hotmail</v>
      </c>
      <c r="U223" t="str">
        <f t="shared" si="59"/>
        <v>DannyMQuesada</v>
      </c>
      <c r="V223" t="s">
        <v>1542</v>
      </c>
      <c r="W223" t="str">
        <f t="shared" si="60"/>
        <v>206-</v>
      </c>
      <c r="X223" t="str">
        <f t="shared" si="61"/>
        <v>632</v>
      </c>
      <c r="Y223" t="str">
        <f t="shared" si="62"/>
        <v>-7520</v>
      </c>
      <c r="Z223" t="str">
        <f>SUBSTITUTE(V223,"-","|",2)</f>
        <v>206-632|7520</v>
      </c>
      <c r="AA223" t="str">
        <f>LEFT(V223,3)</f>
        <v>206</v>
      </c>
      <c r="AB223" t="str">
        <f>MID(V223,5,3)</f>
        <v>632</v>
      </c>
      <c r="AC223" t="str">
        <f>RIGHT(V223,4)</f>
        <v>7520</v>
      </c>
      <c r="AD223" s="3" t="s">
        <v>1543</v>
      </c>
      <c r="AE223" s="3" t="str">
        <f t="shared" si="63"/>
        <v>1137</v>
      </c>
    </row>
    <row r="224" spans="1:31">
      <c r="A224" t="s">
        <v>204</v>
      </c>
      <c r="B224" t="str">
        <f t="shared" si="49"/>
        <v>Patrick</v>
      </c>
      <c r="C224" t="s">
        <v>182</v>
      </c>
      <c r="D224" t="s">
        <v>535</v>
      </c>
      <c r="E224" t="str">
        <f t="shared" si="50"/>
        <v>Johnson</v>
      </c>
      <c r="F224" t="str">
        <f t="shared" si="51"/>
        <v>PATRICKJOHNSON</v>
      </c>
      <c r="G224" t="str">
        <f t="shared" si="52"/>
        <v>PATRICKJOHNSON</v>
      </c>
      <c r="H224" t="str">
        <f t="shared" si="53"/>
        <v>PAT JOHNSON</v>
      </c>
      <c r="I224" t="str">
        <f t="shared" si="54"/>
        <v>PAT.J</v>
      </c>
      <c r="J224" t="s">
        <v>42</v>
      </c>
      <c r="K224" t="s">
        <v>1544</v>
      </c>
      <c r="L224" t="s">
        <v>1545</v>
      </c>
      <c r="M224" t="s">
        <v>1546</v>
      </c>
      <c r="N224">
        <v>89106</v>
      </c>
      <c r="O224" t="str">
        <f t="shared" si="55"/>
        <v>89106</v>
      </c>
      <c r="P224" t="str">
        <f t="shared" si="48"/>
        <v>3033 Hickory Ridge Drive, Las Vegas, NV, 89106</v>
      </c>
      <c r="Q224" t="s">
        <v>1547</v>
      </c>
      <c r="R224" t="str">
        <f t="shared" si="56"/>
        <v>PatrickCJohnson</v>
      </c>
      <c r="S224" t="str">
        <f t="shared" si="57"/>
        <v>gmail.com</v>
      </c>
      <c r="T224" t="str">
        <f t="shared" si="58"/>
        <v>gmail</v>
      </c>
      <c r="U224" t="str">
        <f t="shared" si="59"/>
        <v>PatrickCJohnson</v>
      </c>
      <c r="V224" t="s">
        <v>1548</v>
      </c>
      <c r="W224" t="str">
        <f t="shared" si="60"/>
        <v>702-</v>
      </c>
      <c r="X224" t="str">
        <f t="shared" si="61"/>
        <v>646</v>
      </c>
      <c r="Y224" t="str">
        <f t="shared" si="62"/>
        <v>-7948</v>
      </c>
      <c r="Z224" t="str">
        <f>SUBSTITUTE(V224,"-","|",2)</f>
        <v>702-646|7948</v>
      </c>
      <c r="AA224" t="str">
        <f>LEFT(V224,3)</f>
        <v>702</v>
      </c>
      <c r="AB224" t="str">
        <f>MID(V224,5,3)</f>
        <v>646</v>
      </c>
      <c r="AC224" t="str">
        <f>RIGHT(V224,4)</f>
        <v>7948</v>
      </c>
      <c r="AD224" s="3" t="s">
        <v>1549</v>
      </c>
      <c r="AE224" s="3" t="str">
        <f t="shared" si="63"/>
        <v>2493</v>
      </c>
    </row>
    <row r="225" spans="1:31">
      <c r="A225" t="s">
        <v>915</v>
      </c>
      <c r="B225" t="str">
        <f t="shared" si="49"/>
        <v>Christopher</v>
      </c>
      <c r="C225" t="s">
        <v>30</v>
      </c>
      <c r="D225" t="s">
        <v>1550</v>
      </c>
      <c r="E225" t="str">
        <f t="shared" si="50"/>
        <v>White</v>
      </c>
      <c r="F225" t="str">
        <f t="shared" si="51"/>
        <v>CHRISTOPHERWHITE</v>
      </c>
      <c r="G225" t="str">
        <f t="shared" si="52"/>
        <v>CHRISTOPHERWHITE</v>
      </c>
      <c r="H225" t="str">
        <f t="shared" si="53"/>
        <v>CHR WHITE</v>
      </c>
      <c r="I225" t="str">
        <f t="shared" si="54"/>
        <v>CHR.W</v>
      </c>
      <c r="J225" t="s">
        <v>42</v>
      </c>
      <c r="K225" t="s">
        <v>1551</v>
      </c>
      <c r="L225" t="s">
        <v>1552</v>
      </c>
      <c r="M225" t="s">
        <v>45</v>
      </c>
      <c r="N225">
        <v>92801</v>
      </c>
      <c r="O225" t="str">
        <f t="shared" si="55"/>
        <v>92801</v>
      </c>
      <c r="P225" t="str">
        <f t="shared" si="48"/>
        <v>4305 Parkview Drive, Anaheim, CA, 92801</v>
      </c>
      <c r="Q225" t="s">
        <v>1553</v>
      </c>
      <c r="R225" t="str">
        <f t="shared" si="56"/>
        <v>ChristopherJWhite</v>
      </c>
      <c r="S225" t="str">
        <f t="shared" si="57"/>
        <v>gmail.com</v>
      </c>
      <c r="T225" t="str">
        <f t="shared" si="58"/>
        <v>gmail</v>
      </c>
      <c r="U225" t="str">
        <f t="shared" si="59"/>
        <v>ChristopherJWhite</v>
      </c>
      <c r="V225" t="s">
        <v>1554</v>
      </c>
      <c r="W225" t="str">
        <f t="shared" si="60"/>
        <v>714-</v>
      </c>
      <c r="X225" t="str">
        <f t="shared" si="61"/>
        <v>227</v>
      </c>
      <c r="Y225" t="str">
        <f t="shared" si="62"/>
        <v>-7227</v>
      </c>
      <c r="Z225" t="str">
        <f>SUBSTITUTE(V225,"-","|",2)</f>
        <v>714-227|7227</v>
      </c>
      <c r="AA225" t="str">
        <f>LEFT(V225,3)</f>
        <v>714</v>
      </c>
      <c r="AB225" t="str">
        <f>MID(V225,5,3)</f>
        <v>227</v>
      </c>
      <c r="AC225" t="str">
        <f>RIGHT(V225,4)</f>
        <v>7227</v>
      </c>
      <c r="AD225" s="3" t="s">
        <v>1555</v>
      </c>
      <c r="AE225" s="3" t="str">
        <f t="shared" si="63"/>
        <v>5058</v>
      </c>
    </row>
    <row r="226" spans="1:31">
      <c r="A226" t="s">
        <v>189</v>
      </c>
      <c r="B226" t="str">
        <f t="shared" si="49"/>
        <v>James</v>
      </c>
      <c r="C226" t="s">
        <v>84</v>
      </c>
      <c r="D226" t="s">
        <v>1556</v>
      </c>
      <c r="E226" t="str">
        <f t="shared" si="50"/>
        <v>Washington</v>
      </c>
      <c r="F226" t="str">
        <f t="shared" si="51"/>
        <v>JAMESWASHINGTON</v>
      </c>
      <c r="G226" t="str">
        <f t="shared" si="52"/>
        <v>JAMESWASHINGTON</v>
      </c>
      <c r="H226" t="str">
        <f t="shared" si="53"/>
        <v>JAM WASHINGTON</v>
      </c>
      <c r="I226" t="str">
        <f t="shared" si="54"/>
        <v>JAM.W</v>
      </c>
      <c r="J226" t="s">
        <v>42</v>
      </c>
      <c r="K226" t="s">
        <v>1557</v>
      </c>
      <c r="L226" t="s">
        <v>1558</v>
      </c>
      <c r="M226" t="s">
        <v>871</v>
      </c>
      <c r="N226">
        <v>98926</v>
      </c>
      <c r="O226" t="str">
        <f t="shared" si="55"/>
        <v>98926</v>
      </c>
      <c r="P226" t="str">
        <f t="shared" si="48"/>
        <v>1523 Melrose Street, Ellensburg, WA, 98926</v>
      </c>
      <c r="Q226" t="s">
        <v>1559</v>
      </c>
      <c r="R226" t="str">
        <f t="shared" si="56"/>
        <v>JamesKWashington</v>
      </c>
      <c r="S226" t="str">
        <f t="shared" si="57"/>
        <v>gmail.com</v>
      </c>
      <c r="T226" t="str">
        <f t="shared" si="58"/>
        <v>gmail</v>
      </c>
      <c r="U226" t="str">
        <f t="shared" si="59"/>
        <v>JamesKWashington</v>
      </c>
      <c r="V226" t="s">
        <v>1560</v>
      </c>
      <c r="W226" t="str">
        <f t="shared" si="60"/>
        <v>509-</v>
      </c>
      <c r="X226" t="str">
        <f t="shared" si="61"/>
        <v>929</v>
      </c>
      <c r="Y226" t="str">
        <f t="shared" si="62"/>
        <v>-2283</v>
      </c>
      <c r="Z226" t="str">
        <f>SUBSTITUTE(V226,"-","|",2)</f>
        <v>509-929|2283</v>
      </c>
      <c r="AA226" t="str">
        <f>LEFT(V226,3)</f>
        <v>509</v>
      </c>
      <c r="AB226" t="str">
        <f>MID(V226,5,3)</f>
        <v>929</v>
      </c>
      <c r="AC226" t="str">
        <f>RIGHT(V226,4)</f>
        <v>2283</v>
      </c>
      <c r="AD226" s="3" t="s">
        <v>1561</v>
      </c>
      <c r="AE226" s="3" t="str">
        <f t="shared" si="63"/>
        <v>972</v>
      </c>
    </row>
    <row r="227" spans="1:31">
      <c r="A227" t="s">
        <v>608</v>
      </c>
      <c r="B227" t="str">
        <f t="shared" si="49"/>
        <v>Christine</v>
      </c>
      <c r="C227" t="s">
        <v>297</v>
      </c>
      <c r="D227" t="s">
        <v>1562</v>
      </c>
      <c r="E227" t="str">
        <f t="shared" si="50"/>
        <v>Pierce</v>
      </c>
      <c r="F227" t="str">
        <f t="shared" si="51"/>
        <v>CHRISTINEPIERCE</v>
      </c>
      <c r="G227" t="str">
        <f t="shared" si="52"/>
        <v>CHRISTINEPIERCE</v>
      </c>
      <c r="H227" t="str">
        <f t="shared" si="53"/>
        <v>CHR PIERCE</v>
      </c>
      <c r="I227" t="str">
        <f t="shared" si="54"/>
        <v>CHR.P</v>
      </c>
      <c r="J227" t="s">
        <v>32</v>
      </c>
      <c r="K227" t="s">
        <v>1563</v>
      </c>
      <c r="L227" t="s">
        <v>1564</v>
      </c>
      <c r="M227" t="s">
        <v>35</v>
      </c>
      <c r="N227">
        <v>61759</v>
      </c>
      <c r="O227" t="str">
        <f t="shared" si="55"/>
        <v>61759</v>
      </c>
      <c r="P227" t="str">
        <f t="shared" si="48"/>
        <v>509 Coburn Hollow Road, Minier, IL, 61759</v>
      </c>
      <c r="Q227" t="s">
        <v>1565</v>
      </c>
      <c r="R227" t="str">
        <f t="shared" si="56"/>
        <v>ChristineTPierce</v>
      </c>
      <c r="S227" t="str">
        <f t="shared" si="57"/>
        <v>gmail.com</v>
      </c>
      <c r="T227" t="str">
        <f t="shared" si="58"/>
        <v>gmail</v>
      </c>
      <c r="U227" t="str">
        <f t="shared" si="59"/>
        <v>ChristineTPierce</v>
      </c>
      <c r="V227" t="s">
        <v>1566</v>
      </c>
      <c r="W227" t="str">
        <f t="shared" si="60"/>
        <v>309-</v>
      </c>
      <c r="X227" t="str">
        <f t="shared" si="61"/>
        <v>392</v>
      </c>
      <c r="Y227" t="str">
        <f t="shared" si="62"/>
        <v>-0556</v>
      </c>
      <c r="Z227" t="str">
        <f>SUBSTITUTE(V227,"-","|",2)</f>
        <v>309-392|0556</v>
      </c>
      <c r="AA227" t="str">
        <f>LEFT(V227,3)</f>
        <v>309</v>
      </c>
      <c r="AB227" t="str">
        <f>MID(V227,5,3)</f>
        <v>392</v>
      </c>
      <c r="AC227" t="str">
        <f>RIGHT(V227,4)</f>
        <v>0556</v>
      </c>
      <c r="AD227" s="3" t="s">
        <v>1567</v>
      </c>
      <c r="AE227" s="3" t="str">
        <f t="shared" si="63"/>
        <v>1065</v>
      </c>
    </row>
    <row r="228" spans="1:31">
      <c r="A228" t="s">
        <v>1568</v>
      </c>
      <c r="B228" t="str">
        <f t="shared" si="49"/>
        <v>Marie</v>
      </c>
      <c r="C228" t="s">
        <v>67</v>
      </c>
      <c r="D228" t="s">
        <v>431</v>
      </c>
      <c r="E228" t="str">
        <f t="shared" si="50"/>
        <v>Williams</v>
      </c>
      <c r="F228" t="str">
        <f t="shared" si="51"/>
        <v>MARIEWILLIAMS</v>
      </c>
      <c r="G228" t="str">
        <f t="shared" si="52"/>
        <v>MARIEWILLIAMS</v>
      </c>
      <c r="H228" t="str">
        <f t="shared" si="53"/>
        <v>MAR WILLIAMS</v>
      </c>
      <c r="I228" t="str">
        <f t="shared" si="54"/>
        <v>MAR.W</v>
      </c>
      <c r="J228" t="s">
        <v>32</v>
      </c>
      <c r="K228" t="s">
        <v>1569</v>
      </c>
      <c r="L228" t="s">
        <v>1570</v>
      </c>
      <c r="M228" t="s">
        <v>247</v>
      </c>
      <c r="N228">
        <v>31792</v>
      </c>
      <c r="O228" t="str">
        <f t="shared" si="55"/>
        <v>31792</v>
      </c>
      <c r="P228" t="str">
        <f t="shared" si="48"/>
        <v>240 Locust Street, Thomasville, GA, 31792</v>
      </c>
      <c r="Q228" t="s">
        <v>1571</v>
      </c>
      <c r="R228" t="str">
        <f t="shared" si="56"/>
        <v>MarieDWilliams</v>
      </c>
      <c r="S228" t="str">
        <f t="shared" si="57"/>
        <v>gmail.com</v>
      </c>
      <c r="T228" t="str">
        <f t="shared" si="58"/>
        <v>gmail</v>
      </c>
      <c r="U228" t="str">
        <f t="shared" si="59"/>
        <v>MarieDWilliams</v>
      </c>
      <c r="V228" t="s">
        <v>1572</v>
      </c>
      <c r="W228" t="str">
        <f t="shared" si="60"/>
        <v>229-</v>
      </c>
      <c r="X228" t="str">
        <f t="shared" si="61"/>
        <v>672</v>
      </c>
      <c r="Y228" t="str">
        <f t="shared" si="62"/>
        <v>-6963</v>
      </c>
      <c r="Z228" t="str">
        <f>SUBSTITUTE(V228,"-","|",2)</f>
        <v>229-672|6963</v>
      </c>
      <c r="AA228" t="str">
        <f>LEFT(V228,3)</f>
        <v>229</v>
      </c>
      <c r="AB228" t="str">
        <f>MID(V228,5,3)</f>
        <v>672</v>
      </c>
      <c r="AC228" t="str">
        <f>RIGHT(V228,4)</f>
        <v>6963</v>
      </c>
      <c r="AD228" s="3" t="s">
        <v>1573</v>
      </c>
      <c r="AE228" s="3" t="str">
        <f t="shared" si="63"/>
        <v>7201</v>
      </c>
    </row>
    <row r="229" spans="1:31">
      <c r="A229" t="s">
        <v>1375</v>
      </c>
      <c r="B229" t="str">
        <f t="shared" si="49"/>
        <v>Sharon</v>
      </c>
      <c r="C229" t="s">
        <v>213</v>
      </c>
      <c r="D229" t="s">
        <v>418</v>
      </c>
      <c r="E229" t="str">
        <f t="shared" si="50"/>
        <v>Hamilton</v>
      </c>
      <c r="F229" t="str">
        <f t="shared" si="51"/>
        <v>SHARONHAMILTON</v>
      </c>
      <c r="G229" t="str">
        <f t="shared" si="52"/>
        <v>SHARONHAMILTON</v>
      </c>
      <c r="H229" t="str">
        <f t="shared" si="53"/>
        <v>SHA HAMILTON</v>
      </c>
      <c r="I229" t="str">
        <f t="shared" si="54"/>
        <v>SHA.H</v>
      </c>
      <c r="J229" t="s">
        <v>32</v>
      </c>
      <c r="K229" t="s">
        <v>1574</v>
      </c>
      <c r="L229" t="s">
        <v>1575</v>
      </c>
      <c r="M229" t="s">
        <v>62</v>
      </c>
      <c r="N229">
        <v>24011</v>
      </c>
      <c r="O229" t="str">
        <f t="shared" si="55"/>
        <v>24011</v>
      </c>
      <c r="P229" t="str">
        <f t="shared" si="48"/>
        <v>4591 Hurry Street, Roanoke, VA, 24011</v>
      </c>
      <c r="Q229" t="s">
        <v>1576</v>
      </c>
      <c r="R229" t="str">
        <f t="shared" si="56"/>
        <v>SharonAHamilton</v>
      </c>
      <c r="S229" t="str">
        <f t="shared" si="57"/>
        <v>aol.com</v>
      </c>
      <c r="T229" t="str">
        <f t="shared" si="58"/>
        <v>aol</v>
      </c>
      <c r="U229" t="str">
        <f t="shared" si="59"/>
        <v>SharonAHamilton</v>
      </c>
      <c r="V229" t="s">
        <v>1577</v>
      </c>
      <c r="W229" t="str">
        <f t="shared" si="60"/>
        <v>540-</v>
      </c>
      <c r="X229" t="str">
        <f t="shared" si="61"/>
        <v>344</v>
      </c>
      <c r="Y229" t="str">
        <f t="shared" si="62"/>
        <v>-8487</v>
      </c>
      <c r="Z229" t="str">
        <f>SUBSTITUTE(V229,"-","|",2)</f>
        <v>540-344|8487</v>
      </c>
      <c r="AA229" t="str">
        <f>LEFT(V229,3)</f>
        <v>540</v>
      </c>
      <c r="AB229" t="str">
        <f>MID(V229,5,3)</f>
        <v>344</v>
      </c>
      <c r="AC229" t="str">
        <f>RIGHT(V229,4)</f>
        <v>8487</v>
      </c>
      <c r="AD229" s="3" t="s">
        <v>1578</v>
      </c>
      <c r="AE229" s="3" t="str">
        <f t="shared" si="63"/>
        <v>828</v>
      </c>
    </row>
    <row r="230" spans="1:31">
      <c r="A230" t="s">
        <v>1579</v>
      </c>
      <c r="B230" t="str">
        <f t="shared" si="49"/>
        <v>Landon</v>
      </c>
      <c r="C230" t="s">
        <v>40</v>
      </c>
      <c r="D230" t="s">
        <v>1580</v>
      </c>
      <c r="E230" t="str">
        <f t="shared" si="50"/>
        <v>Bryan</v>
      </c>
      <c r="F230" t="str">
        <f t="shared" si="51"/>
        <v>LANDONBRYAN</v>
      </c>
      <c r="G230" t="str">
        <f t="shared" si="52"/>
        <v>LANDONBRYAN</v>
      </c>
      <c r="H230" t="str">
        <f t="shared" si="53"/>
        <v>LAN BRYAN</v>
      </c>
      <c r="I230" t="str">
        <f t="shared" si="54"/>
        <v>LAN.B</v>
      </c>
      <c r="J230" t="s">
        <v>42</v>
      </c>
      <c r="K230" t="s">
        <v>1581</v>
      </c>
      <c r="L230" t="s">
        <v>1582</v>
      </c>
      <c r="M230" t="s">
        <v>104</v>
      </c>
      <c r="N230">
        <v>11590</v>
      </c>
      <c r="O230" t="str">
        <f t="shared" si="55"/>
        <v>11590</v>
      </c>
      <c r="P230" t="str">
        <f t="shared" si="48"/>
        <v>1069 Mount Tabor, Westbury, NY, 11590</v>
      </c>
      <c r="Q230" t="s">
        <v>1583</v>
      </c>
      <c r="R230" t="str">
        <f t="shared" si="56"/>
        <v>LandonSBryan</v>
      </c>
      <c r="S230" t="str">
        <f t="shared" si="57"/>
        <v>aol.com</v>
      </c>
      <c r="T230" t="str">
        <f t="shared" si="58"/>
        <v>aol</v>
      </c>
      <c r="U230" t="str">
        <f t="shared" si="59"/>
        <v>LandonSBryan</v>
      </c>
      <c r="V230" t="s">
        <v>1584</v>
      </c>
      <c r="W230" t="str">
        <f t="shared" si="60"/>
        <v>914-</v>
      </c>
      <c r="X230" t="str">
        <f t="shared" si="61"/>
        <v>573</v>
      </c>
      <c r="Y230" t="str">
        <f t="shared" si="62"/>
        <v>-4676</v>
      </c>
      <c r="Z230" t="str">
        <f>SUBSTITUTE(V230,"-","|",2)</f>
        <v>914-573|4676</v>
      </c>
      <c r="AA230" t="str">
        <f>LEFT(V230,3)</f>
        <v>914</v>
      </c>
      <c r="AB230" t="str">
        <f>MID(V230,5,3)</f>
        <v>573</v>
      </c>
      <c r="AC230" t="str">
        <f>RIGHT(V230,4)</f>
        <v>4676</v>
      </c>
      <c r="AD230" s="3" t="s">
        <v>1585</v>
      </c>
      <c r="AE230" s="3" t="str">
        <f t="shared" si="63"/>
        <v>6711</v>
      </c>
    </row>
    <row r="231" spans="1:31">
      <c r="A231" t="s">
        <v>157</v>
      </c>
      <c r="B231" t="str">
        <f t="shared" si="49"/>
        <v>Mark</v>
      </c>
      <c r="C231" t="s">
        <v>149</v>
      </c>
      <c r="D231" t="s">
        <v>1586</v>
      </c>
      <c r="E231" t="str">
        <f t="shared" si="50"/>
        <v>Garrison</v>
      </c>
      <c r="F231" t="str">
        <f t="shared" si="51"/>
        <v>MARKGARRISON</v>
      </c>
      <c r="G231" t="str">
        <f t="shared" si="52"/>
        <v>MARKGARRISON</v>
      </c>
      <c r="H231" t="str">
        <f t="shared" si="53"/>
        <v>MAR GARRISON</v>
      </c>
      <c r="I231" t="str">
        <f t="shared" si="54"/>
        <v>MAR.G</v>
      </c>
      <c r="J231" t="s">
        <v>42</v>
      </c>
      <c r="K231" t="s">
        <v>1587</v>
      </c>
      <c r="L231" t="s">
        <v>1588</v>
      </c>
      <c r="M231" t="s">
        <v>516</v>
      </c>
      <c r="N231">
        <v>47408</v>
      </c>
      <c r="O231" t="str">
        <f t="shared" si="55"/>
        <v>47408</v>
      </c>
      <c r="P231" t="str">
        <f t="shared" si="48"/>
        <v>4372 Neville Street, Bloomington, IN, 47408</v>
      </c>
      <c r="Q231" t="s">
        <v>1589</v>
      </c>
      <c r="R231" t="str">
        <f t="shared" si="56"/>
        <v>MarkPGarrison</v>
      </c>
      <c r="S231" t="str">
        <f t="shared" si="57"/>
        <v>gmail.com</v>
      </c>
      <c r="T231" t="str">
        <f t="shared" si="58"/>
        <v>gmail</v>
      </c>
      <c r="U231" t="str">
        <f t="shared" si="59"/>
        <v>MarkPGarrison</v>
      </c>
      <c r="V231" t="s">
        <v>1590</v>
      </c>
      <c r="W231" t="str">
        <f t="shared" si="60"/>
        <v>812-</v>
      </c>
      <c r="X231" t="str">
        <f t="shared" si="61"/>
        <v>581</v>
      </c>
      <c r="Y231" t="str">
        <f t="shared" si="62"/>
        <v>-1981</v>
      </c>
      <c r="Z231" t="str">
        <f>SUBSTITUTE(V231,"-","|",2)</f>
        <v>812-581|1981</v>
      </c>
      <c r="AA231" t="str">
        <f>LEFT(V231,3)</f>
        <v>812</v>
      </c>
      <c r="AB231" t="str">
        <f>MID(V231,5,3)</f>
        <v>581</v>
      </c>
      <c r="AC231" t="str">
        <f>RIGHT(V231,4)</f>
        <v>1981</v>
      </c>
      <c r="AD231" s="3" t="s">
        <v>1591</v>
      </c>
      <c r="AE231" s="3" t="str">
        <f t="shared" si="63"/>
        <v>477</v>
      </c>
    </row>
    <row r="232" spans="1:31">
      <c r="A232" t="s">
        <v>1592</v>
      </c>
      <c r="B232" t="str">
        <f t="shared" si="49"/>
        <v>Jeremy</v>
      </c>
      <c r="C232" t="s">
        <v>213</v>
      </c>
      <c r="D232" t="s">
        <v>1245</v>
      </c>
      <c r="E232" t="str">
        <f t="shared" si="50"/>
        <v>Whitaker</v>
      </c>
      <c r="F232" t="str">
        <f t="shared" si="51"/>
        <v>JEREMYWHITAKER</v>
      </c>
      <c r="G232" t="str">
        <f t="shared" si="52"/>
        <v>JEREMYWHITAKER</v>
      </c>
      <c r="H232" t="str">
        <f t="shared" si="53"/>
        <v>JER WHITAKER</v>
      </c>
      <c r="I232" t="str">
        <f t="shared" si="54"/>
        <v>JER.W</v>
      </c>
      <c r="J232" t="s">
        <v>42</v>
      </c>
      <c r="K232" t="s">
        <v>1593</v>
      </c>
      <c r="L232" t="s">
        <v>1594</v>
      </c>
      <c r="M232" t="s">
        <v>45</v>
      </c>
      <c r="N232">
        <v>93401</v>
      </c>
      <c r="O232" t="str">
        <f t="shared" si="55"/>
        <v>93401</v>
      </c>
      <c r="P232" t="str">
        <f t="shared" si="48"/>
        <v>3597 Creekside Lane, San Luis Obispo, CA, 93401</v>
      </c>
      <c r="Q232" t="s">
        <v>1595</v>
      </c>
      <c r="R232" t="str">
        <f t="shared" si="56"/>
        <v>JeremyAWhitaker</v>
      </c>
      <c r="S232" t="str">
        <f t="shared" si="57"/>
        <v>aol.com</v>
      </c>
      <c r="T232" t="str">
        <f t="shared" si="58"/>
        <v>aol</v>
      </c>
      <c r="U232" t="str">
        <f t="shared" si="59"/>
        <v>JeremyAWhitaker</v>
      </c>
      <c r="V232" t="s">
        <v>1596</v>
      </c>
      <c r="W232" t="str">
        <f t="shared" si="60"/>
        <v>805-</v>
      </c>
      <c r="X232" t="str">
        <f t="shared" si="61"/>
        <v>710</v>
      </c>
      <c r="Y232" t="str">
        <f t="shared" si="62"/>
        <v>-2361</v>
      </c>
      <c r="Z232" t="str">
        <f>SUBSTITUTE(V232,"-","|",2)</f>
        <v>805-710|2361</v>
      </c>
      <c r="AA232" t="str">
        <f>LEFT(V232,3)</f>
        <v>805</v>
      </c>
      <c r="AB232" t="str">
        <f>MID(V232,5,3)</f>
        <v>710</v>
      </c>
      <c r="AC232" t="str">
        <f>RIGHT(V232,4)</f>
        <v>2361</v>
      </c>
      <c r="AD232" s="3" t="s">
        <v>1597</v>
      </c>
      <c r="AE232" s="3" t="str">
        <f t="shared" si="63"/>
        <v>5370</v>
      </c>
    </row>
    <row r="233" spans="1:31">
      <c r="A233" t="s">
        <v>1598</v>
      </c>
      <c r="B233" t="str">
        <f t="shared" si="49"/>
        <v>Matthew</v>
      </c>
      <c r="C233" t="s">
        <v>58</v>
      </c>
      <c r="D233" t="s">
        <v>1599</v>
      </c>
      <c r="E233" t="str">
        <f t="shared" si="50"/>
        <v>Dupre</v>
      </c>
      <c r="F233" t="str">
        <f t="shared" si="51"/>
        <v>MATTHEWDUPRE</v>
      </c>
      <c r="G233" t="str">
        <f t="shared" si="52"/>
        <v>MATTHEWDUPRE</v>
      </c>
      <c r="H233" t="str">
        <f t="shared" si="53"/>
        <v>MAT DUPRE</v>
      </c>
      <c r="I233" t="str">
        <f t="shared" si="54"/>
        <v>MAT.D</v>
      </c>
      <c r="J233" t="s">
        <v>42</v>
      </c>
      <c r="K233" t="s">
        <v>1600</v>
      </c>
      <c r="L233" t="s">
        <v>1601</v>
      </c>
      <c r="M233" t="s">
        <v>538</v>
      </c>
      <c r="N233">
        <v>15017</v>
      </c>
      <c r="O233" t="str">
        <f t="shared" si="55"/>
        <v>15017</v>
      </c>
      <c r="P233" t="str">
        <f t="shared" si="48"/>
        <v>2943 Stiles Street, Bridgeville, PA, 15017</v>
      </c>
      <c r="Q233" t="s">
        <v>1602</v>
      </c>
      <c r="R233" t="str">
        <f t="shared" si="56"/>
        <v>MatthewMDupre</v>
      </c>
      <c r="S233" t="str">
        <f t="shared" si="57"/>
        <v>gmail.com</v>
      </c>
      <c r="T233" t="str">
        <f t="shared" si="58"/>
        <v>gmail</v>
      </c>
      <c r="U233" t="str">
        <f t="shared" si="59"/>
        <v>MatthewMDupre</v>
      </c>
      <c r="V233" t="s">
        <v>1603</v>
      </c>
      <c r="W233" t="str">
        <f t="shared" si="60"/>
        <v>412-</v>
      </c>
      <c r="X233" t="str">
        <f t="shared" si="61"/>
        <v>585</v>
      </c>
      <c r="Y233" t="str">
        <f t="shared" si="62"/>
        <v>-3743</v>
      </c>
      <c r="Z233" t="str">
        <f>SUBSTITUTE(V233,"-","|",2)</f>
        <v>412-585|3743</v>
      </c>
      <c r="AA233" t="str">
        <f>LEFT(V233,3)</f>
        <v>412</v>
      </c>
      <c r="AB233" t="str">
        <f>MID(V233,5,3)</f>
        <v>585</v>
      </c>
      <c r="AC233" t="str">
        <f>RIGHT(V233,4)</f>
        <v>3743</v>
      </c>
      <c r="AD233" s="3" t="s">
        <v>1604</v>
      </c>
      <c r="AE233" s="3" t="str">
        <f t="shared" si="63"/>
        <v>1993</v>
      </c>
    </row>
    <row r="234" spans="1:31">
      <c r="A234" t="s">
        <v>1408</v>
      </c>
      <c r="B234" t="str">
        <f t="shared" si="49"/>
        <v>Stephen</v>
      </c>
      <c r="C234" t="s">
        <v>343</v>
      </c>
      <c r="D234" t="s">
        <v>1605</v>
      </c>
      <c r="E234" t="str">
        <f t="shared" si="50"/>
        <v>Carlson</v>
      </c>
      <c r="F234" t="str">
        <f t="shared" si="51"/>
        <v>STEPHENCARLSON</v>
      </c>
      <c r="G234" t="str">
        <f t="shared" si="52"/>
        <v>STEPHENCARLSON</v>
      </c>
      <c r="H234" t="str">
        <f t="shared" si="53"/>
        <v>STE CARLSON</v>
      </c>
      <c r="I234" t="str">
        <f t="shared" si="54"/>
        <v>STE.C</v>
      </c>
      <c r="J234" t="s">
        <v>42</v>
      </c>
      <c r="K234" t="s">
        <v>1606</v>
      </c>
      <c r="L234" t="s">
        <v>1607</v>
      </c>
      <c r="M234" t="s">
        <v>161</v>
      </c>
      <c r="N234">
        <v>49855</v>
      </c>
      <c r="O234" t="str">
        <f t="shared" si="55"/>
        <v>49855</v>
      </c>
      <c r="P234" t="str">
        <f t="shared" si="48"/>
        <v>4434 Pinewood Avenue, Marquette, MI, 49855</v>
      </c>
      <c r="Q234" t="s">
        <v>1608</v>
      </c>
      <c r="R234" t="str">
        <f t="shared" si="56"/>
        <v>StephenLCarlson</v>
      </c>
      <c r="S234" t="str">
        <f t="shared" si="57"/>
        <v>hotmail.com</v>
      </c>
      <c r="T234" t="str">
        <f t="shared" si="58"/>
        <v>hotmail</v>
      </c>
      <c r="U234" t="str">
        <f t="shared" si="59"/>
        <v>StephenLCarlson</v>
      </c>
      <c r="V234" t="s">
        <v>1609</v>
      </c>
      <c r="W234" t="str">
        <f t="shared" si="60"/>
        <v>906-</v>
      </c>
      <c r="X234" t="str">
        <f t="shared" si="61"/>
        <v>731</v>
      </c>
      <c r="Y234" t="str">
        <f t="shared" si="62"/>
        <v>-6381</v>
      </c>
      <c r="Z234" t="str">
        <f>SUBSTITUTE(V234,"-","|",2)</f>
        <v>906-731|6381</v>
      </c>
      <c r="AA234" t="str">
        <f>LEFT(V234,3)</f>
        <v>906</v>
      </c>
      <c r="AB234" t="str">
        <f>MID(V234,5,3)</f>
        <v>731</v>
      </c>
      <c r="AC234" t="str">
        <f>RIGHT(V234,4)</f>
        <v>6381</v>
      </c>
      <c r="AD234" s="3" t="s">
        <v>1610</v>
      </c>
      <c r="AE234" s="3" t="str">
        <f t="shared" si="63"/>
        <v>199</v>
      </c>
    </row>
    <row r="235" spans="1:31">
      <c r="A235" t="s">
        <v>328</v>
      </c>
      <c r="B235" t="str">
        <f t="shared" si="49"/>
        <v>Richard</v>
      </c>
      <c r="C235" t="s">
        <v>781</v>
      </c>
      <c r="D235" t="s">
        <v>1611</v>
      </c>
      <c r="E235" t="str">
        <f t="shared" si="50"/>
        <v>Bivona</v>
      </c>
      <c r="F235" t="str">
        <f t="shared" si="51"/>
        <v>RICHARDBIVONA</v>
      </c>
      <c r="G235" t="str">
        <f t="shared" si="52"/>
        <v>RICHARDBIVONA</v>
      </c>
      <c r="H235" t="str">
        <f t="shared" si="53"/>
        <v>RIC BIVONA</v>
      </c>
      <c r="I235" t="str">
        <f t="shared" si="54"/>
        <v>RIC.B</v>
      </c>
      <c r="J235" t="s">
        <v>42</v>
      </c>
      <c r="K235" t="s">
        <v>1612</v>
      </c>
      <c r="L235" t="s">
        <v>1613</v>
      </c>
      <c r="M235" t="s">
        <v>538</v>
      </c>
      <c r="N235">
        <v>16353</v>
      </c>
      <c r="O235" t="str">
        <f t="shared" si="55"/>
        <v>16353</v>
      </c>
      <c r="P235" t="str">
        <f t="shared" si="48"/>
        <v>198 Spadafore Drive, Tionesta, PA, 16353</v>
      </c>
      <c r="Q235" t="s">
        <v>1614</v>
      </c>
      <c r="R235" t="str">
        <f t="shared" si="56"/>
        <v>RichardNBivona</v>
      </c>
      <c r="S235" t="str">
        <f t="shared" si="57"/>
        <v>gmail.com</v>
      </c>
      <c r="T235" t="str">
        <f t="shared" si="58"/>
        <v>gmail</v>
      </c>
      <c r="U235" t="str">
        <f t="shared" si="59"/>
        <v>RichardNBivona</v>
      </c>
      <c r="V235" t="s">
        <v>1615</v>
      </c>
      <c r="W235" t="str">
        <f t="shared" si="60"/>
        <v>814-</v>
      </c>
      <c r="X235" t="str">
        <f t="shared" si="61"/>
        <v>755</v>
      </c>
      <c r="Y235" t="str">
        <f t="shared" si="62"/>
        <v>-0549</v>
      </c>
      <c r="Z235" t="str">
        <f>SUBSTITUTE(V235,"-","|",2)</f>
        <v>814-755|0549</v>
      </c>
      <c r="AA235" t="str">
        <f>LEFT(V235,3)</f>
        <v>814</v>
      </c>
      <c r="AB235" t="str">
        <f>MID(V235,5,3)</f>
        <v>755</v>
      </c>
      <c r="AC235" t="str">
        <f>RIGHT(V235,4)</f>
        <v>0549</v>
      </c>
      <c r="AD235" s="3" t="s">
        <v>1616</v>
      </c>
      <c r="AE235" s="3" t="str">
        <f t="shared" si="63"/>
        <v>096</v>
      </c>
    </row>
    <row r="236" spans="1:31">
      <c r="A236" t="s">
        <v>1617</v>
      </c>
      <c r="B236" t="str">
        <f t="shared" si="49"/>
        <v>Theresa</v>
      </c>
      <c r="C236" t="s">
        <v>365</v>
      </c>
      <c r="D236" t="s">
        <v>1618</v>
      </c>
      <c r="E236" t="str">
        <f t="shared" si="50"/>
        <v>Wynn</v>
      </c>
      <c r="F236" t="str">
        <f t="shared" si="51"/>
        <v>THERESAWYNN</v>
      </c>
      <c r="G236" t="str">
        <f t="shared" si="52"/>
        <v>THERESAWYNN</v>
      </c>
      <c r="H236" t="str">
        <f t="shared" si="53"/>
        <v>THE WYNN</v>
      </c>
      <c r="I236" t="str">
        <f t="shared" si="54"/>
        <v>THE.W</v>
      </c>
      <c r="J236" t="s">
        <v>32</v>
      </c>
      <c r="K236" t="s">
        <v>1619</v>
      </c>
      <c r="L236" t="s">
        <v>572</v>
      </c>
      <c r="M236" t="s">
        <v>177</v>
      </c>
      <c r="N236">
        <v>37917</v>
      </c>
      <c r="O236" t="str">
        <f t="shared" si="55"/>
        <v>37917</v>
      </c>
      <c r="P236" t="str">
        <f t="shared" si="48"/>
        <v>227 Brown Avenue, Knoxville, TN, 37917</v>
      </c>
      <c r="Q236" t="s">
        <v>1620</v>
      </c>
      <c r="R236" t="str">
        <f t="shared" si="56"/>
        <v>TheresaGWynn</v>
      </c>
      <c r="S236" t="str">
        <f t="shared" si="57"/>
        <v>gmail.com</v>
      </c>
      <c r="T236" t="str">
        <f t="shared" si="58"/>
        <v>gmail</v>
      </c>
      <c r="U236" t="str">
        <f t="shared" si="59"/>
        <v>TheresaGWynn</v>
      </c>
      <c r="V236" t="s">
        <v>1621</v>
      </c>
      <c r="W236" t="str">
        <f t="shared" si="60"/>
        <v>865-</v>
      </c>
      <c r="X236" t="str">
        <f t="shared" si="61"/>
        <v>245</v>
      </c>
      <c r="Y236" t="str">
        <f t="shared" si="62"/>
        <v>-1971</v>
      </c>
      <c r="Z236" t="str">
        <f>SUBSTITUTE(V236,"-","|",2)</f>
        <v>865-245|1971</v>
      </c>
      <c r="AA236" t="str">
        <f>LEFT(V236,3)</f>
        <v>865</v>
      </c>
      <c r="AB236" t="str">
        <f>MID(V236,5,3)</f>
        <v>245</v>
      </c>
      <c r="AC236" t="str">
        <f>RIGHT(V236,4)</f>
        <v>1971</v>
      </c>
      <c r="AD236" s="3" t="s">
        <v>1622</v>
      </c>
      <c r="AE236" s="3" t="str">
        <f t="shared" si="63"/>
        <v>032</v>
      </c>
    </row>
    <row r="237" spans="1:31">
      <c r="A237" t="s">
        <v>342</v>
      </c>
      <c r="B237" t="str">
        <f t="shared" si="49"/>
        <v>George</v>
      </c>
      <c r="C237" t="s">
        <v>261</v>
      </c>
      <c r="D237" t="s">
        <v>1623</v>
      </c>
      <c r="E237" t="str">
        <f t="shared" si="50"/>
        <v>Schell</v>
      </c>
      <c r="F237" t="str">
        <f t="shared" si="51"/>
        <v>GEORGESCHELL</v>
      </c>
      <c r="G237" t="str">
        <f t="shared" si="52"/>
        <v>GEORGESCHELL</v>
      </c>
      <c r="H237" t="str">
        <f t="shared" si="53"/>
        <v>GEO SCHELL</v>
      </c>
      <c r="I237" t="str">
        <f t="shared" si="54"/>
        <v>GEO.S</v>
      </c>
      <c r="J237" t="s">
        <v>42</v>
      </c>
      <c r="K237" t="s">
        <v>1624</v>
      </c>
      <c r="L237" t="s">
        <v>1625</v>
      </c>
      <c r="M237" t="s">
        <v>71</v>
      </c>
      <c r="N237">
        <v>70605</v>
      </c>
      <c r="O237" t="str">
        <f t="shared" si="55"/>
        <v>70605</v>
      </c>
      <c r="P237" t="str">
        <f t="shared" si="48"/>
        <v>3950 Sarah Drive, Lake Charles, LA, 70605</v>
      </c>
      <c r="Q237" t="s">
        <v>1626</v>
      </c>
      <c r="R237" t="str">
        <f t="shared" si="56"/>
        <v>GeorgeWSchell</v>
      </c>
      <c r="S237" t="str">
        <f t="shared" si="57"/>
        <v>aol.com</v>
      </c>
      <c r="T237" t="str">
        <f t="shared" si="58"/>
        <v>aol</v>
      </c>
      <c r="U237" t="str">
        <f t="shared" si="59"/>
        <v>GeorgeWSchell</v>
      </c>
      <c r="V237" t="s">
        <v>1627</v>
      </c>
      <c r="W237" t="str">
        <f t="shared" si="60"/>
        <v>337-</v>
      </c>
      <c r="X237" t="str">
        <f t="shared" si="61"/>
        <v>474</v>
      </c>
      <c r="Y237" t="str">
        <f t="shared" si="62"/>
        <v>-8383</v>
      </c>
      <c r="Z237" t="str">
        <f>SUBSTITUTE(V237,"-","|",2)</f>
        <v>337-474|8383</v>
      </c>
      <c r="AA237" t="str">
        <f>LEFT(V237,3)</f>
        <v>337</v>
      </c>
      <c r="AB237" t="str">
        <f>MID(V237,5,3)</f>
        <v>474</v>
      </c>
      <c r="AC237" t="str">
        <f>RIGHT(V237,4)</f>
        <v>8383</v>
      </c>
      <c r="AD237" s="3" t="s">
        <v>1628</v>
      </c>
      <c r="AE237" s="3" t="str">
        <f t="shared" si="63"/>
        <v>4976</v>
      </c>
    </row>
    <row r="238" spans="1:31">
      <c r="A238" t="s">
        <v>1629</v>
      </c>
      <c r="B238" t="str">
        <f t="shared" si="49"/>
        <v>Denise</v>
      </c>
      <c r="C238" t="s">
        <v>67</v>
      </c>
      <c r="D238" t="s">
        <v>410</v>
      </c>
      <c r="E238" t="str">
        <f t="shared" si="50"/>
        <v>Brown</v>
      </c>
      <c r="F238" t="str">
        <f t="shared" si="51"/>
        <v>DENISEBROWN</v>
      </c>
      <c r="G238" t="str">
        <f t="shared" si="52"/>
        <v>DENISEBROWN</v>
      </c>
      <c r="H238" t="str">
        <f t="shared" si="53"/>
        <v>DEN BROWN</v>
      </c>
      <c r="I238" t="str">
        <f t="shared" si="54"/>
        <v>DEN.B</v>
      </c>
      <c r="J238" t="s">
        <v>32</v>
      </c>
      <c r="K238" t="s">
        <v>1630</v>
      </c>
      <c r="L238" t="s">
        <v>1631</v>
      </c>
      <c r="M238" t="s">
        <v>1632</v>
      </c>
      <c r="N238">
        <v>6995</v>
      </c>
      <c r="O238" t="str">
        <f t="shared" si="55"/>
        <v>06995</v>
      </c>
      <c r="P238" t="str">
        <f t="shared" si="48"/>
        <v>3938 Maxwell Street, Stamford, CT, 6995</v>
      </c>
      <c r="Q238" t="s">
        <v>1633</v>
      </c>
      <c r="R238" t="str">
        <f t="shared" si="56"/>
        <v>DeniseDBrown</v>
      </c>
      <c r="S238" t="str">
        <f t="shared" si="57"/>
        <v>hotmail.com</v>
      </c>
      <c r="T238" t="str">
        <f t="shared" si="58"/>
        <v>hotmail</v>
      </c>
      <c r="U238" t="str">
        <f t="shared" si="59"/>
        <v>DeniseDBrown</v>
      </c>
      <c r="V238" t="s">
        <v>1634</v>
      </c>
      <c r="W238" t="str">
        <f t="shared" si="60"/>
        <v>860-</v>
      </c>
      <c r="X238" t="str">
        <f t="shared" si="61"/>
        <v>760</v>
      </c>
      <c r="Y238" t="str">
        <f t="shared" si="62"/>
        <v>-6015</v>
      </c>
      <c r="Z238" t="str">
        <f>SUBSTITUTE(V238,"-","|",2)</f>
        <v>860-760|6015</v>
      </c>
      <c r="AA238" t="str">
        <f>LEFT(V238,3)</f>
        <v>860</v>
      </c>
      <c r="AB238" t="str">
        <f>MID(V238,5,3)</f>
        <v>760</v>
      </c>
      <c r="AC238" t="str">
        <f>RIGHT(V238,4)</f>
        <v>6015</v>
      </c>
      <c r="AD238" s="3" t="s">
        <v>1635</v>
      </c>
      <c r="AE238" s="3" t="str">
        <f t="shared" si="63"/>
        <v>356</v>
      </c>
    </row>
    <row r="239" spans="1:31">
      <c r="A239" t="s">
        <v>1636</v>
      </c>
      <c r="B239" t="str">
        <f t="shared" si="49"/>
        <v>Philip</v>
      </c>
      <c r="C239" t="s">
        <v>365</v>
      </c>
      <c r="D239" t="s">
        <v>1637</v>
      </c>
      <c r="E239" t="str">
        <f t="shared" si="50"/>
        <v>Phillips</v>
      </c>
      <c r="F239" t="str">
        <f t="shared" si="51"/>
        <v>PHILIPPHILLIPS</v>
      </c>
      <c r="G239" t="str">
        <f t="shared" si="52"/>
        <v>PHILIPPHILLIPS</v>
      </c>
      <c r="H239" t="str">
        <f t="shared" si="53"/>
        <v>PHI PHILLIPS</v>
      </c>
      <c r="I239" t="str">
        <f t="shared" si="54"/>
        <v>PHI.P</v>
      </c>
      <c r="J239" t="s">
        <v>42</v>
      </c>
      <c r="K239" t="s">
        <v>1638</v>
      </c>
      <c r="L239" t="s">
        <v>1639</v>
      </c>
      <c r="M239" t="s">
        <v>247</v>
      </c>
      <c r="N239">
        <v>30071</v>
      </c>
      <c r="O239" t="str">
        <f t="shared" si="55"/>
        <v>30071</v>
      </c>
      <c r="P239" t="str">
        <f t="shared" si="48"/>
        <v>3414 Fowler Avenue, Norcross, GA, 30071</v>
      </c>
      <c r="Q239" t="s">
        <v>1640</v>
      </c>
      <c r="R239" t="str">
        <f t="shared" si="56"/>
        <v>PhilipGPhillips</v>
      </c>
      <c r="S239" t="str">
        <f t="shared" si="57"/>
        <v>aol.com</v>
      </c>
      <c r="T239" t="str">
        <f t="shared" si="58"/>
        <v>aol</v>
      </c>
      <c r="U239" t="str">
        <f t="shared" si="59"/>
        <v>PhilipGPhillips</v>
      </c>
      <c r="V239" t="s">
        <v>1641</v>
      </c>
      <c r="W239" t="str">
        <f t="shared" si="60"/>
        <v>770-</v>
      </c>
      <c r="X239" t="str">
        <f t="shared" si="61"/>
        <v>245</v>
      </c>
      <c r="Y239" t="str">
        <f t="shared" si="62"/>
        <v>-3087</v>
      </c>
      <c r="Z239" t="str">
        <f>SUBSTITUTE(V239,"-","|",2)</f>
        <v>770-245|3087</v>
      </c>
      <c r="AA239" t="str">
        <f>LEFT(V239,3)</f>
        <v>770</v>
      </c>
      <c r="AB239" t="str">
        <f>MID(V239,5,3)</f>
        <v>245</v>
      </c>
      <c r="AC239" t="str">
        <f>RIGHT(V239,4)</f>
        <v>3087</v>
      </c>
      <c r="AD239" s="3" t="s">
        <v>1642</v>
      </c>
      <c r="AE239" s="3" t="str">
        <f t="shared" si="63"/>
        <v>981</v>
      </c>
    </row>
    <row r="240" spans="1:31">
      <c r="A240" t="s">
        <v>471</v>
      </c>
      <c r="B240" t="str">
        <f t="shared" si="49"/>
        <v>David</v>
      </c>
      <c r="C240" t="s">
        <v>67</v>
      </c>
      <c r="D240" t="s">
        <v>1643</v>
      </c>
      <c r="E240" t="str">
        <f t="shared" si="50"/>
        <v>Pendleton</v>
      </c>
      <c r="F240" t="str">
        <f t="shared" si="51"/>
        <v>DAVIDPENDLETON</v>
      </c>
      <c r="G240" t="str">
        <f t="shared" si="52"/>
        <v>DAVIDPENDLETON</v>
      </c>
      <c r="H240" t="str">
        <f t="shared" si="53"/>
        <v>DAV PENDLETON</v>
      </c>
      <c r="I240" t="str">
        <f t="shared" si="54"/>
        <v>DAV.P</v>
      </c>
      <c r="J240" t="s">
        <v>42</v>
      </c>
      <c r="K240" t="s">
        <v>1644</v>
      </c>
      <c r="L240" t="s">
        <v>643</v>
      </c>
      <c r="M240" t="s">
        <v>96</v>
      </c>
      <c r="N240">
        <v>35209</v>
      </c>
      <c r="O240" t="str">
        <f t="shared" si="55"/>
        <v>35209</v>
      </c>
      <c r="P240" t="str">
        <f t="shared" si="48"/>
        <v>2126 Petunia Way, Birmingham, AL, 35209</v>
      </c>
      <c r="Q240" t="s">
        <v>1645</v>
      </c>
      <c r="R240" t="str">
        <f t="shared" si="56"/>
        <v>DavidDPendleton</v>
      </c>
      <c r="S240" t="str">
        <f t="shared" si="57"/>
        <v>gmail.com</v>
      </c>
      <c r="T240" t="str">
        <f t="shared" si="58"/>
        <v>gmail</v>
      </c>
      <c r="U240" t="str">
        <f t="shared" si="59"/>
        <v>DavidDPendleton</v>
      </c>
      <c r="V240" t="s">
        <v>1646</v>
      </c>
      <c r="W240" t="str">
        <f t="shared" si="60"/>
        <v>205-</v>
      </c>
      <c r="X240" t="str">
        <f t="shared" si="61"/>
        <v>889</v>
      </c>
      <c r="Y240" t="str">
        <f t="shared" si="62"/>
        <v>-7735</v>
      </c>
      <c r="Z240" t="str">
        <f>SUBSTITUTE(V240,"-","|",2)</f>
        <v>205-889|7735</v>
      </c>
      <c r="AA240" t="str">
        <f>LEFT(V240,3)</f>
        <v>205</v>
      </c>
      <c r="AB240" t="str">
        <f>MID(V240,5,3)</f>
        <v>889</v>
      </c>
      <c r="AC240" t="str">
        <f>RIGHT(V240,4)</f>
        <v>7735</v>
      </c>
      <c r="AD240" s="3" t="s">
        <v>1647</v>
      </c>
      <c r="AE240" s="3" t="str">
        <f t="shared" si="63"/>
        <v>577</v>
      </c>
    </row>
    <row r="241" spans="1:31">
      <c r="A241" t="s">
        <v>115</v>
      </c>
      <c r="B241" t="str">
        <f t="shared" si="49"/>
        <v>Shannon</v>
      </c>
      <c r="C241" t="s">
        <v>30</v>
      </c>
      <c r="D241" t="s">
        <v>1017</v>
      </c>
      <c r="E241" t="str">
        <f t="shared" si="50"/>
        <v>Green</v>
      </c>
      <c r="F241" t="str">
        <f t="shared" si="51"/>
        <v>SHANNONGREEN</v>
      </c>
      <c r="G241" t="str">
        <f t="shared" si="52"/>
        <v>SHANNONGREEN</v>
      </c>
      <c r="H241" t="str">
        <f t="shared" si="53"/>
        <v>SHA GREEN</v>
      </c>
      <c r="I241" t="str">
        <f t="shared" si="54"/>
        <v>SHA.G</v>
      </c>
      <c r="J241" t="s">
        <v>32</v>
      </c>
      <c r="K241" t="s">
        <v>1648</v>
      </c>
      <c r="L241" t="s">
        <v>1649</v>
      </c>
      <c r="M241" t="s">
        <v>200</v>
      </c>
      <c r="N241">
        <v>33012</v>
      </c>
      <c r="O241" t="str">
        <f t="shared" si="55"/>
        <v>33012</v>
      </c>
      <c r="P241" t="str">
        <f t="shared" si="48"/>
        <v>1178 Elkview Drive, Hialeah, FL, 33012</v>
      </c>
      <c r="Q241" t="s">
        <v>1650</v>
      </c>
      <c r="R241" t="str">
        <f t="shared" si="56"/>
        <v>ShannonJGreen</v>
      </c>
      <c r="S241" t="str">
        <f t="shared" si="57"/>
        <v>aol.com</v>
      </c>
      <c r="T241" t="str">
        <f t="shared" si="58"/>
        <v>aol</v>
      </c>
      <c r="U241" t="str">
        <f t="shared" si="59"/>
        <v>ShannonJGreen</v>
      </c>
      <c r="V241" t="s">
        <v>1651</v>
      </c>
      <c r="W241" t="str">
        <f t="shared" si="60"/>
        <v>772-</v>
      </c>
      <c r="X241" t="str">
        <f t="shared" si="61"/>
        <v>268</v>
      </c>
      <c r="Y241" t="str">
        <f t="shared" si="62"/>
        <v>-6487</v>
      </c>
      <c r="Z241" t="str">
        <f>SUBSTITUTE(V241,"-","|",2)</f>
        <v>772-268|6487</v>
      </c>
      <c r="AA241" t="str">
        <f>LEFT(V241,3)</f>
        <v>772</v>
      </c>
      <c r="AB241" t="str">
        <f>MID(V241,5,3)</f>
        <v>268</v>
      </c>
      <c r="AC241" t="str">
        <f>RIGHT(V241,4)</f>
        <v>6487</v>
      </c>
      <c r="AD241" s="3" t="s">
        <v>1652</v>
      </c>
      <c r="AE241" s="3" t="str">
        <f t="shared" si="63"/>
        <v>025</v>
      </c>
    </row>
    <row r="242" spans="1:31">
      <c r="A242" t="s">
        <v>1653</v>
      </c>
      <c r="B242" t="str">
        <f t="shared" si="49"/>
        <v>Dave</v>
      </c>
      <c r="C242" t="s">
        <v>166</v>
      </c>
      <c r="D242" t="s">
        <v>1654</v>
      </c>
      <c r="E242" t="str">
        <f t="shared" si="50"/>
        <v>Spears</v>
      </c>
      <c r="F242" t="str">
        <f t="shared" si="51"/>
        <v>DAVESPEARS</v>
      </c>
      <c r="G242" t="str">
        <f t="shared" si="52"/>
        <v>DAVESPEARS</v>
      </c>
      <c r="H242" t="str">
        <f t="shared" si="53"/>
        <v>DAV SPEARS</v>
      </c>
      <c r="I242" t="str">
        <f t="shared" si="54"/>
        <v>DAV.S</v>
      </c>
      <c r="J242" t="s">
        <v>42</v>
      </c>
      <c r="K242" t="s">
        <v>1655</v>
      </c>
      <c r="L242" t="s">
        <v>1340</v>
      </c>
      <c r="M242" t="s">
        <v>45</v>
      </c>
      <c r="N242">
        <v>90404</v>
      </c>
      <c r="O242" t="str">
        <f t="shared" si="55"/>
        <v>90404</v>
      </c>
      <c r="P242" t="str">
        <f t="shared" si="48"/>
        <v>2832 Doctors Drive, Santa Monica, CA, 90404</v>
      </c>
      <c r="Q242" t="s">
        <v>1656</v>
      </c>
      <c r="R242" t="str">
        <f t="shared" si="56"/>
        <v>DaveBSpears</v>
      </c>
      <c r="S242" t="str">
        <f t="shared" si="57"/>
        <v>aol.com</v>
      </c>
      <c r="T242" t="str">
        <f t="shared" si="58"/>
        <v>aol</v>
      </c>
      <c r="U242" t="str">
        <f t="shared" si="59"/>
        <v>DaveBSpears</v>
      </c>
      <c r="V242" t="s">
        <v>1657</v>
      </c>
      <c r="W242" t="str">
        <f t="shared" si="60"/>
        <v>310-</v>
      </c>
      <c r="X242" t="str">
        <f t="shared" si="61"/>
        <v>401</v>
      </c>
      <c r="Y242" t="str">
        <f t="shared" si="62"/>
        <v>-9353</v>
      </c>
      <c r="Z242" t="str">
        <f>SUBSTITUTE(V242,"-","|",2)</f>
        <v>310-401|9353</v>
      </c>
      <c r="AA242" t="str">
        <f>LEFT(V242,3)</f>
        <v>310</v>
      </c>
      <c r="AB242" t="str">
        <f>MID(V242,5,3)</f>
        <v>401</v>
      </c>
      <c r="AC242" t="str">
        <f>RIGHT(V242,4)</f>
        <v>9353</v>
      </c>
      <c r="AD242" s="3" t="s">
        <v>1658</v>
      </c>
      <c r="AE242" s="3" t="str">
        <f t="shared" si="63"/>
        <v>5253</v>
      </c>
    </row>
    <row r="243" spans="1:31">
      <c r="A243" t="s">
        <v>471</v>
      </c>
      <c r="B243" t="str">
        <f t="shared" si="49"/>
        <v>David</v>
      </c>
      <c r="C243" t="s">
        <v>30</v>
      </c>
      <c r="D243" t="s">
        <v>1659</v>
      </c>
      <c r="E243" t="str">
        <f t="shared" si="50"/>
        <v>Turner</v>
      </c>
      <c r="F243" t="str">
        <f t="shared" si="51"/>
        <v>DAVIDTURNER</v>
      </c>
      <c r="G243" t="str">
        <f t="shared" si="52"/>
        <v>DAVIDTURNER</v>
      </c>
      <c r="H243" t="str">
        <f t="shared" si="53"/>
        <v>DAV TURNER</v>
      </c>
      <c r="I243" t="str">
        <f t="shared" si="54"/>
        <v>DAV.T</v>
      </c>
      <c r="J243" t="s">
        <v>42</v>
      </c>
      <c r="K243" t="s">
        <v>1660</v>
      </c>
      <c r="L243" t="s">
        <v>1661</v>
      </c>
      <c r="M243" t="s">
        <v>153</v>
      </c>
      <c r="N243">
        <v>53202</v>
      </c>
      <c r="O243" t="str">
        <f t="shared" si="55"/>
        <v>53202</v>
      </c>
      <c r="P243" t="str">
        <f t="shared" si="48"/>
        <v>2504 Grant View Drive, Milwaukee, WI, 53202</v>
      </c>
      <c r="Q243" t="s">
        <v>1662</v>
      </c>
      <c r="R243" t="str">
        <f t="shared" si="56"/>
        <v>DavidJTurner</v>
      </c>
      <c r="S243" t="str">
        <f t="shared" si="57"/>
        <v>gmail.com</v>
      </c>
      <c r="T243" t="str">
        <f t="shared" si="58"/>
        <v>gmail</v>
      </c>
      <c r="U243" t="str">
        <f t="shared" si="59"/>
        <v>DavidJTurner</v>
      </c>
      <c r="V243" t="s">
        <v>1663</v>
      </c>
      <c r="W243" t="str">
        <f t="shared" si="60"/>
        <v>414-</v>
      </c>
      <c r="X243" t="str">
        <f t="shared" si="61"/>
        <v>377</v>
      </c>
      <c r="Y243" t="str">
        <f t="shared" si="62"/>
        <v>-6047</v>
      </c>
      <c r="Z243" t="str">
        <f>SUBSTITUTE(V243,"-","|",2)</f>
        <v>414-377|6047</v>
      </c>
      <c r="AA243" t="str">
        <f>LEFT(V243,3)</f>
        <v>414</v>
      </c>
      <c r="AB243" t="str">
        <f>MID(V243,5,3)</f>
        <v>377</v>
      </c>
      <c r="AC243" t="str">
        <f>RIGHT(V243,4)</f>
        <v>6047</v>
      </c>
      <c r="AD243" s="3" t="s">
        <v>1664</v>
      </c>
      <c r="AE243" s="3" t="str">
        <f t="shared" si="63"/>
        <v>5312</v>
      </c>
    </row>
    <row r="244" spans="1:31">
      <c r="A244" t="s">
        <v>221</v>
      </c>
      <c r="B244" t="str">
        <f t="shared" si="49"/>
        <v>Daniel</v>
      </c>
      <c r="C244" t="s">
        <v>116</v>
      </c>
      <c r="D244" t="s">
        <v>1665</v>
      </c>
      <c r="E244" t="str">
        <f t="shared" si="50"/>
        <v>Dwyer</v>
      </c>
      <c r="F244" t="str">
        <f t="shared" si="51"/>
        <v>DANIELDWYER</v>
      </c>
      <c r="G244" t="str">
        <f t="shared" si="52"/>
        <v>DANIELDWYER</v>
      </c>
      <c r="H244" t="str">
        <f t="shared" si="53"/>
        <v>DAN DWYER</v>
      </c>
      <c r="I244" t="str">
        <f t="shared" si="54"/>
        <v>DAN.D</v>
      </c>
      <c r="J244" t="s">
        <v>42</v>
      </c>
      <c r="K244" t="s">
        <v>1666</v>
      </c>
      <c r="L244" t="s">
        <v>611</v>
      </c>
      <c r="M244" t="s">
        <v>256</v>
      </c>
      <c r="N244">
        <v>28412</v>
      </c>
      <c r="O244" t="str">
        <f t="shared" si="55"/>
        <v>28412</v>
      </c>
      <c r="P244" t="str">
        <f t="shared" si="48"/>
        <v>1562 Twin Willow Lane, Wilmington, NC, 28412</v>
      </c>
      <c r="Q244" t="s">
        <v>1667</v>
      </c>
      <c r="R244" t="str">
        <f t="shared" si="56"/>
        <v>DanielHDwyer</v>
      </c>
      <c r="S244" t="str">
        <f t="shared" si="57"/>
        <v>aol.com</v>
      </c>
      <c r="T244" t="str">
        <f t="shared" si="58"/>
        <v>aol</v>
      </c>
      <c r="U244" t="str">
        <f t="shared" si="59"/>
        <v>DanielHDwyer</v>
      </c>
      <c r="V244" t="s">
        <v>1668</v>
      </c>
      <c r="W244" t="str">
        <f t="shared" si="60"/>
        <v>910-</v>
      </c>
      <c r="X244" t="str">
        <f t="shared" si="61"/>
        <v>412</v>
      </c>
      <c r="Y244" t="str">
        <f t="shared" si="62"/>
        <v>-9036</v>
      </c>
      <c r="Z244" t="str">
        <f>SUBSTITUTE(V244,"-","|",2)</f>
        <v>910-412|9036</v>
      </c>
      <c r="AA244" t="str">
        <f>LEFT(V244,3)</f>
        <v>910</v>
      </c>
      <c r="AB244" t="str">
        <f>MID(V244,5,3)</f>
        <v>412</v>
      </c>
      <c r="AC244" t="str">
        <f>RIGHT(V244,4)</f>
        <v>9036</v>
      </c>
      <c r="AD244" s="3" t="s">
        <v>1669</v>
      </c>
      <c r="AE244" s="3" t="str">
        <f t="shared" si="63"/>
        <v>4116</v>
      </c>
    </row>
    <row r="245" spans="1:31">
      <c r="A245" t="s">
        <v>1670</v>
      </c>
      <c r="B245" t="str">
        <f t="shared" si="49"/>
        <v>Darlene</v>
      </c>
      <c r="C245" t="s">
        <v>67</v>
      </c>
      <c r="D245" t="s">
        <v>1671</v>
      </c>
      <c r="E245" t="str">
        <f t="shared" si="50"/>
        <v>Ward</v>
      </c>
      <c r="F245" t="str">
        <f t="shared" si="51"/>
        <v>DARLENEWARD</v>
      </c>
      <c r="G245" t="str">
        <f t="shared" si="52"/>
        <v>DARLENEWARD</v>
      </c>
      <c r="H245" t="str">
        <f t="shared" si="53"/>
        <v>DAR WARD</v>
      </c>
      <c r="I245" t="str">
        <f t="shared" si="54"/>
        <v>DAR.W</v>
      </c>
      <c r="J245" t="s">
        <v>32</v>
      </c>
      <c r="K245" t="s">
        <v>1672</v>
      </c>
      <c r="L245" t="s">
        <v>565</v>
      </c>
      <c r="M245" t="s">
        <v>45</v>
      </c>
      <c r="N245">
        <v>94010</v>
      </c>
      <c r="O245" t="str">
        <f t="shared" si="55"/>
        <v>94010</v>
      </c>
      <c r="P245" t="str">
        <f t="shared" si="48"/>
        <v>4525 Rardin Drive, Burlingame, CA, 94010</v>
      </c>
      <c r="Q245" t="s">
        <v>1673</v>
      </c>
      <c r="R245" t="str">
        <f t="shared" si="56"/>
        <v>DarleneDWard</v>
      </c>
      <c r="S245" t="str">
        <f t="shared" si="57"/>
        <v>aol.com</v>
      </c>
      <c r="T245" t="str">
        <f t="shared" si="58"/>
        <v>aol</v>
      </c>
      <c r="U245" t="str">
        <f t="shared" si="59"/>
        <v>DarleneDWard</v>
      </c>
      <c r="V245" t="s">
        <v>1674</v>
      </c>
      <c r="W245" t="str">
        <f t="shared" si="60"/>
        <v>650-</v>
      </c>
      <c r="X245" t="str">
        <f t="shared" si="61"/>
        <v>696</v>
      </c>
      <c r="Y245" t="str">
        <f t="shared" si="62"/>
        <v>-0121</v>
      </c>
      <c r="Z245" t="str">
        <f>SUBSTITUTE(V245,"-","|",2)</f>
        <v>650-696|0121</v>
      </c>
      <c r="AA245" t="str">
        <f>LEFT(V245,3)</f>
        <v>650</v>
      </c>
      <c r="AB245" t="str">
        <f>MID(V245,5,3)</f>
        <v>696</v>
      </c>
      <c r="AC245" t="str">
        <f>RIGHT(V245,4)</f>
        <v>0121</v>
      </c>
      <c r="AD245" s="3" t="s">
        <v>1675</v>
      </c>
      <c r="AE245" s="3" t="str">
        <f t="shared" si="63"/>
        <v>4380</v>
      </c>
    </row>
    <row r="246" spans="1:31">
      <c r="A246" t="s">
        <v>1676</v>
      </c>
      <c r="B246" t="str">
        <f t="shared" si="49"/>
        <v>Walter</v>
      </c>
      <c r="C246" t="s">
        <v>132</v>
      </c>
      <c r="D246" t="s">
        <v>1677</v>
      </c>
      <c r="E246" t="str">
        <f t="shared" si="50"/>
        <v>Gavin</v>
      </c>
      <c r="F246" t="str">
        <f t="shared" si="51"/>
        <v>WALTERGAVIN</v>
      </c>
      <c r="G246" t="str">
        <f t="shared" si="52"/>
        <v>WALTERGAVIN</v>
      </c>
      <c r="H246" t="str">
        <f t="shared" si="53"/>
        <v>WAL GAVIN</v>
      </c>
      <c r="I246" t="str">
        <f t="shared" si="54"/>
        <v>WAL.G</v>
      </c>
      <c r="J246" t="s">
        <v>42</v>
      </c>
      <c r="K246" t="s">
        <v>1678</v>
      </c>
      <c r="L246" t="s">
        <v>1143</v>
      </c>
      <c r="M246" t="s">
        <v>161</v>
      </c>
      <c r="N246">
        <v>49503</v>
      </c>
      <c r="O246" t="str">
        <f t="shared" si="55"/>
        <v>49503</v>
      </c>
      <c r="P246" t="str">
        <f t="shared" si="48"/>
        <v>4463 Garrett Street, Grand Rapids, MI, 49503</v>
      </c>
      <c r="Q246" t="s">
        <v>1679</v>
      </c>
      <c r="R246" t="str">
        <f t="shared" si="56"/>
        <v>WalterRGavin</v>
      </c>
      <c r="S246" t="str">
        <f t="shared" si="57"/>
        <v>aol.com</v>
      </c>
      <c r="T246" t="str">
        <f t="shared" si="58"/>
        <v>aol</v>
      </c>
      <c r="U246" t="str">
        <f t="shared" si="59"/>
        <v>WalterRGavin</v>
      </c>
      <c r="V246" t="s">
        <v>1680</v>
      </c>
      <c r="W246" t="str">
        <f t="shared" si="60"/>
        <v>269-</v>
      </c>
      <c r="X246" t="str">
        <f t="shared" si="61"/>
        <v>268</v>
      </c>
      <c r="Y246" t="str">
        <f t="shared" si="62"/>
        <v>-1166</v>
      </c>
      <c r="Z246" t="str">
        <f>SUBSTITUTE(V246,"-","|",2)</f>
        <v>269-268|1166</v>
      </c>
      <c r="AA246" t="str">
        <f>LEFT(V246,3)</f>
        <v>269</v>
      </c>
      <c r="AB246" t="str">
        <f>MID(V246,5,3)</f>
        <v>268</v>
      </c>
      <c r="AC246" t="str">
        <f>RIGHT(V246,4)</f>
        <v>1166</v>
      </c>
      <c r="AD246" s="3" t="s">
        <v>1681</v>
      </c>
      <c r="AE246" s="3" t="str">
        <f t="shared" si="63"/>
        <v>0813</v>
      </c>
    </row>
    <row r="247" spans="1:31">
      <c r="A247" t="s">
        <v>615</v>
      </c>
      <c r="B247" t="str">
        <f t="shared" si="49"/>
        <v>Mary</v>
      </c>
      <c r="C247" t="s">
        <v>67</v>
      </c>
      <c r="D247" t="s">
        <v>1682</v>
      </c>
      <c r="E247" t="str">
        <f t="shared" si="50"/>
        <v>Glaspie</v>
      </c>
      <c r="F247" t="str">
        <f t="shared" si="51"/>
        <v>MARYGLASPIE</v>
      </c>
      <c r="G247" t="str">
        <f t="shared" si="52"/>
        <v>MARYGLASPIE</v>
      </c>
      <c r="H247" t="str">
        <f t="shared" si="53"/>
        <v>MAR GLASPIE</v>
      </c>
      <c r="I247" t="str">
        <f t="shared" si="54"/>
        <v>MAR.G</v>
      </c>
      <c r="J247" t="s">
        <v>32</v>
      </c>
      <c r="K247" t="s">
        <v>1683</v>
      </c>
      <c r="L247" t="s">
        <v>135</v>
      </c>
      <c r="M247" t="s">
        <v>136</v>
      </c>
      <c r="N247">
        <v>2908</v>
      </c>
      <c r="O247" t="str">
        <f t="shared" si="55"/>
        <v>02908</v>
      </c>
      <c r="P247" t="str">
        <f t="shared" si="48"/>
        <v>3123 Diamond Cove, Providence, RI, 2908</v>
      </c>
      <c r="Q247" t="s">
        <v>1684</v>
      </c>
      <c r="R247" t="str">
        <f t="shared" si="56"/>
        <v>MaryDGlaspie</v>
      </c>
      <c r="S247" t="str">
        <f t="shared" si="57"/>
        <v>gmail.com</v>
      </c>
      <c r="T247" t="str">
        <f t="shared" si="58"/>
        <v>gmail</v>
      </c>
      <c r="U247" t="str">
        <f t="shared" si="59"/>
        <v>MaryDGlaspie</v>
      </c>
      <c r="V247" t="s">
        <v>1685</v>
      </c>
      <c r="W247" t="str">
        <f t="shared" si="60"/>
        <v>401-</v>
      </c>
      <c r="X247" t="str">
        <f t="shared" si="61"/>
        <v>313</v>
      </c>
      <c r="Y247" t="str">
        <f t="shared" si="62"/>
        <v>-0452</v>
      </c>
      <c r="Z247" t="str">
        <f>SUBSTITUTE(V247,"-","|",2)</f>
        <v>401-313|0452</v>
      </c>
      <c r="AA247" t="str">
        <f>LEFT(V247,3)</f>
        <v>401</v>
      </c>
      <c r="AB247" t="str">
        <f>MID(V247,5,3)</f>
        <v>313</v>
      </c>
      <c r="AC247" t="str">
        <f>RIGHT(V247,4)</f>
        <v>0452</v>
      </c>
      <c r="AD247" s="3" t="s">
        <v>1686</v>
      </c>
      <c r="AE247" s="3" t="str">
        <f t="shared" si="63"/>
        <v>1846</v>
      </c>
    </row>
    <row r="248" spans="1:31">
      <c r="A248" t="s">
        <v>1687</v>
      </c>
      <c r="B248" t="str">
        <f t="shared" si="49"/>
        <v>Frank</v>
      </c>
      <c r="C248" t="s">
        <v>30</v>
      </c>
      <c r="D248" t="s">
        <v>1688</v>
      </c>
      <c r="E248" t="str">
        <f t="shared" si="50"/>
        <v>Santos</v>
      </c>
      <c r="F248" t="str">
        <f t="shared" si="51"/>
        <v>FRANKSANTOS</v>
      </c>
      <c r="G248" t="str">
        <f t="shared" si="52"/>
        <v>FRANKSANTOS</v>
      </c>
      <c r="H248" t="str">
        <f t="shared" si="53"/>
        <v>FRA SANTOS</v>
      </c>
      <c r="I248" t="str">
        <f t="shared" si="54"/>
        <v>FRA.S</v>
      </c>
      <c r="J248" t="s">
        <v>42</v>
      </c>
      <c r="K248" t="s">
        <v>1689</v>
      </c>
      <c r="L248" t="s">
        <v>1690</v>
      </c>
      <c r="M248" t="s">
        <v>208</v>
      </c>
      <c r="N248">
        <v>68309</v>
      </c>
      <c r="O248" t="str">
        <f t="shared" si="55"/>
        <v>68309</v>
      </c>
      <c r="P248" t="str">
        <f t="shared" si="48"/>
        <v>3255 Snowbird Lane, Barneston, NE, 68309</v>
      </c>
      <c r="Q248" t="s">
        <v>1691</v>
      </c>
      <c r="R248" t="str">
        <f t="shared" si="56"/>
        <v>FrankJSantos</v>
      </c>
      <c r="S248" t="str">
        <f t="shared" si="57"/>
        <v>aol.com</v>
      </c>
      <c r="T248" t="str">
        <f t="shared" si="58"/>
        <v>aol</v>
      </c>
      <c r="U248" t="str">
        <f t="shared" si="59"/>
        <v>FrankJSantos</v>
      </c>
      <c r="V248" t="s">
        <v>1692</v>
      </c>
      <c r="W248" t="str">
        <f t="shared" si="60"/>
        <v>402-</v>
      </c>
      <c r="X248" t="str">
        <f t="shared" si="61"/>
        <v>674</v>
      </c>
      <c r="Y248" t="str">
        <f t="shared" si="62"/>
        <v>-6125</v>
      </c>
      <c r="Z248" t="str">
        <f>SUBSTITUTE(V248,"-","|",2)</f>
        <v>402-674|6125</v>
      </c>
      <c r="AA248" t="str">
        <f>LEFT(V248,3)</f>
        <v>402</v>
      </c>
      <c r="AB248" t="str">
        <f>MID(V248,5,3)</f>
        <v>674</v>
      </c>
      <c r="AC248" t="str">
        <f>RIGHT(V248,4)</f>
        <v>6125</v>
      </c>
      <c r="AD248" s="3" t="s">
        <v>1693</v>
      </c>
      <c r="AE248" s="3" t="str">
        <f t="shared" si="63"/>
        <v>488</v>
      </c>
    </row>
    <row r="249" spans="1:31">
      <c r="A249" t="s">
        <v>808</v>
      </c>
      <c r="B249" t="str">
        <f t="shared" si="49"/>
        <v>Kevin</v>
      </c>
      <c r="C249" t="s">
        <v>40</v>
      </c>
      <c r="D249" t="s">
        <v>1694</v>
      </c>
      <c r="E249" t="str">
        <f t="shared" si="50"/>
        <v>Arias</v>
      </c>
      <c r="F249" t="str">
        <f t="shared" si="51"/>
        <v>KEVINARIAS</v>
      </c>
      <c r="G249" t="str">
        <f t="shared" si="52"/>
        <v>KEVINARIAS</v>
      </c>
      <c r="H249" t="str">
        <f t="shared" si="53"/>
        <v>KEV ARIAS</v>
      </c>
      <c r="I249" t="str">
        <f t="shared" si="54"/>
        <v>KEV.A</v>
      </c>
      <c r="J249" t="s">
        <v>42</v>
      </c>
      <c r="K249" t="s">
        <v>1695</v>
      </c>
      <c r="L249" t="s">
        <v>1696</v>
      </c>
      <c r="M249" t="s">
        <v>96</v>
      </c>
      <c r="N249">
        <v>36538</v>
      </c>
      <c r="O249" t="str">
        <f t="shared" si="55"/>
        <v>36538</v>
      </c>
      <c r="P249" t="str">
        <f t="shared" si="48"/>
        <v>3502 Joyce Street, Frankville, AL, 36538</v>
      </c>
      <c r="Q249" t="s">
        <v>1697</v>
      </c>
      <c r="R249" t="str">
        <f t="shared" si="56"/>
        <v>KevinSArias</v>
      </c>
      <c r="S249" t="str">
        <f t="shared" si="57"/>
        <v>gmail.com</v>
      </c>
      <c r="T249" t="str">
        <f t="shared" si="58"/>
        <v>gmail</v>
      </c>
      <c r="U249" t="str">
        <f t="shared" si="59"/>
        <v>KevinSArias</v>
      </c>
      <c r="V249" t="s">
        <v>1698</v>
      </c>
      <c r="W249" t="str">
        <f t="shared" si="60"/>
        <v>251-</v>
      </c>
      <c r="X249" t="str">
        <f t="shared" si="61"/>
        <v>754</v>
      </c>
      <c r="Y249" t="str">
        <f t="shared" si="62"/>
        <v>-8822</v>
      </c>
      <c r="Z249" t="str">
        <f>SUBSTITUTE(V249,"-","|",2)</f>
        <v>251-754|8822</v>
      </c>
      <c r="AA249" t="str">
        <f>LEFT(V249,3)</f>
        <v>251</v>
      </c>
      <c r="AB249" t="str">
        <f>MID(V249,5,3)</f>
        <v>754</v>
      </c>
      <c r="AC249" t="str">
        <f>RIGHT(V249,4)</f>
        <v>8822</v>
      </c>
      <c r="AD249" s="3" t="s">
        <v>1699</v>
      </c>
      <c r="AE249" s="3" t="str">
        <f t="shared" si="63"/>
        <v>4216</v>
      </c>
    </row>
    <row r="250" spans="1:31">
      <c r="A250" t="s">
        <v>189</v>
      </c>
      <c r="B250" t="str">
        <f t="shared" si="49"/>
        <v>James</v>
      </c>
      <c r="C250" t="s">
        <v>84</v>
      </c>
      <c r="D250" t="s">
        <v>1700</v>
      </c>
      <c r="E250" t="str">
        <f t="shared" si="50"/>
        <v>Foster</v>
      </c>
      <c r="F250" t="str">
        <f t="shared" si="51"/>
        <v>JAMESFOSTER</v>
      </c>
      <c r="G250" t="str">
        <f t="shared" si="52"/>
        <v>JAMESFOSTER</v>
      </c>
      <c r="H250" t="str">
        <f t="shared" si="53"/>
        <v>JAM FOSTER</v>
      </c>
      <c r="I250" t="str">
        <f t="shared" si="54"/>
        <v>JAM.F</v>
      </c>
      <c r="J250" t="s">
        <v>42</v>
      </c>
      <c r="K250" t="s">
        <v>1701</v>
      </c>
      <c r="L250" t="s">
        <v>1443</v>
      </c>
      <c r="M250" t="s">
        <v>1444</v>
      </c>
      <c r="N250">
        <v>20020</v>
      </c>
      <c r="O250" t="str">
        <f t="shared" si="55"/>
        <v>20020</v>
      </c>
      <c r="P250" t="str">
        <f t="shared" si="48"/>
        <v>2429 School Street, Washington, DC, 20020</v>
      </c>
      <c r="Q250" t="s">
        <v>1702</v>
      </c>
      <c r="R250" t="str">
        <f t="shared" si="56"/>
        <v>JamesKFoster</v>
      </c>
      <c r="S250" t="str">
        <f t="shared" si="57"/>
        <v>hotmail.com</v>
      </c>
      <c r="T250" t="str">
        <f t="shared" si="58"/>
        <v>hotmail</v>
      </c>
      <c r="U250" t="str">
        <f t="shared" si="59"/>
        <v>JamesKFoster</v>
      </c>
      <c r="V250" t="s">
        <v>1703</v>
      </c>
      <c r="W250" t="str">
        <f t="shared" si="60"/>
        <v>202-</v>
      </c>
      <c r="X250" t="str">
        <f t="shared" si="61"/>
        <v>889</v>
      </c>
      <c r="Y250" t="str">
        <f t="shared" si="62"/>
        <v>-1944</v>
      </c>
      <c r="Z250" t="str">
        <f>SUBSTITUTE(V250,"-","|",2)</f>
        <v>202-889|1944</v>
      </c>
      <c r="AA250" t="str">
        <f>LEFT(V250,3)</f>
        <v>202</v>
      </c>
      <c r="AB250" t="str">
        <f>MID(V250,5,3)</f>
        <v>889</v>
      </c>
      <c r="AC250" t="str">
        <f>RIGHT(V250,4)</f>
        <v>1944</v>
      </c>
      <c r="AD250" s="3" t="s">
        <v>1704</v>
      </c>
      <c r="AE250" s="3" t="str">
        <f t="shared" si="63"/>
        <v>3551</v>
      </c>
    </row>
    <row r="251" spans="1:31">
      <c r="A251" t="s">
        <v>1705</v>
      </c>
      <c r="B251" t="str">
        <f t="shared" si="49"/>
        <v>Randy</v>
      </c>
      <c r="C251" t="s">
        <v>781</v>
      </c>
      <c r="D251" t="s">
        <v>507</v>
      </c>
      <c r="E251" t="str">
        <f t="shared" si="50"/>
        <v>Harrison</v>
      </c>
      <c r="F251" t="str">
        <f t="shared" si="51"/>
        <v>RANDYHARRISON</v>
      </c>
      <c r="G251" t="str">
        <f t="shared" si="52"/>
        <v>RANDYHARRISON</v>
      </c>
      <c r="H251" t="str">
        <f t="shared" si="53"/>
        <v>RAN HARRISON</v>
      </c>
      <c r="I251" t="str">
        <f t="shared" si="54"/>
        <v>RAN.H</v>
      </c>
      <c r="J251" t="s">
        <v>42</v>
      </c>
      <c r="K251" t="s">
        <v>1706</v>
      </c>
      <c r="L251" t="s">
        <v>1707</v>
      </c>
      <c r="M251" t="s">
        <v>88</v>
      </c>
      <c r="N251">
        <v>76301</v>
      </c>
      <c r="O251" t="str">
        <f t="shared" si="55"/>
        <v>76301</v>
      </c>
      <c r="P251" t="str">
        <f t="shared" si="48"/>
        <v>1252 Boggess Street, Wichita Falls, TX, 76301</v>
      </c>
      <c r="Q251" t="s">
        <v>1708</v>
      </c>
      <c r="R251" t="str">
        <f t="shared" si="56"/>
        <v>RandyNHarrison</v>
      </c>
      <c r="S251" t="str">
        <f t="shared" si="57"/>
        <v>aol.com</v>
      </c>
      <c r="T251" t="str">
        <f t="shared" si="58"/>
        <v>aol</v>
      </c>
      <c r="U251" t="str">
        <f t="shared" si="59"/>
        <v>RandyNHarrison</v>
      </c>
      <c r="V251" t="s">
        <v>1709</v>
      </c>
      <c r="W251" t="str">
        <f t="shared" si="60"/>
        <v>940-</v>
      </c>
      <c r="X251" t="str">
        <f t="shared" si="61"/>
        <v>228</v>
      </c>
      <c r="Y251" t="str">
        <f t="shared" si="62"/>
        <v>-9302</v>
      </c>
      <c r="Z251" t="str">
        <f>SUBSTITUTE(V251,"-","|",2)</f>
        <v>940-228|9302</v>
      </c>
      <c r="AA251" t="str">
        <f>LEFT(V251,3)</f>
        <v>940</v>
      </c>
      <c r="AB251" t="str">
        <f>MID(V251,5,3)</f>
        <v>228</v>
      </c>
      <c r="AC251" t="str">
        <f>RIGHT(V251,4)</f>
        <v>9302</v>
      </c>
      <c r="AD251" s="3" t="s">
        <v>1710</v>
      </c>
      <c r="AE251" s="3" t="str">
        <f t="shared" si="63"/>
        <v>111</v>
      </c>
    </row>
    <row r="252" spans="1:31">
      <c r="A252" t="s">
        <v>140</v>
      </c>
      <c r="B252" t="str">
        <f t="shared" si="49"/>
        <v>Barbara</v>
      </c>
      <c r="C252" t="s">
        <v>132</v>
      </c>
      <c r="D252" t="s">
        <v>1711</v>
      </c>
      <c r="E252" t="str">
        <f t="shared" si="50"/>
        <v>Gray</v>
      </c>
      <c r="F252" t="str">
        <f t="shared" si="51"/>
        <v>BARBARAGRAY</v>
      </c>
      <c r="G252" t="str">
        <f t="shared" si="52"/>
        <v>BARBARAGRAY</v>
      </c>
      <c r="H252" t="str">
        <f t="shared" si="53"/>
        <v>BAR GRAY</v>
      </c>
      <c r="I252" t="str">
        <f t="shared" si="54"/>
        <v>BAR.G</v>
      </c>
      <c r="J252" t="s">
        <v>32</v>
      </c>
      <c r="K252" t="s">
        <v>1712</v>
      </c>
      <c r="L252" t="s">
        <v>1713</v>
      </c>
      <c r="M252" t="s">
        <v>1020</v>
      </c>
      <c r="N252">
        <v>29646</v>
      </c>
      <c r="O252" t="str">
        <f t="shared" si="55"/>
        <v>29646</v>
      </c>
      <c r="P252" t="str">
        <f t="shared" si="48"/>
        <v>1172 Pooh Bear Lane, Greenwood, SC, 29646</v>
      </c>
      <c r="Q252" t="s">
        <v>1714</v>
      </c>
      <c r="R252" t="str">
        <f t="shared" si="56"/>
        <v>BarbaraRGray</v>
      </c>
      <c r="S252" t="str">
        <f t="shared" si="57"/>
        <v>gmail.com</v>
      </c>
      <c r="T252" t="str">
        <f t="shared" si="58"/>
        <v>gmail</v>
      </c>
      <c r="U252" t="str">
        <f t="shared" si="59"/>
        <v>BarbaraRGray</v>
      </c>
      <c r="V252" t="s">
        <v>1715</v>
      </c>
      <c r="W252" t="str">
        <f t="shared" si="60"/>
        <v>864-</v>
      </c>
      <c r="X252" t="str">
        <f t="shared" si="61"/>
        <v>725</v>
      </c>
      <c r="Y252" t="str">
        <f t="shared" si="62"/>
        <v>-0784</v>
      </c>
      <c r="Z252" t="str">
        <f>SUBSTITUTE(V252,"-","|",2)</f>
        <v>864-725|0784</v>
      </c>
      <c r="AA252" t="str">
        <f>LEFT(V252,3)</f>
        <v>864</v>
      </c>
      <c r="AB252" t="str">
        <f>MID(V252,5,3)</f>
        <v>725</v>
      </c>
      <c r="AC252" t="str">
        <f>RIGHT(V252,4)</f>
        <v>0784</v>
      </c>
      <c r="AD252" s="3" t="s">
        <v>1716</v>
      </c>
      <c r="AE252" s="3" t="str">
        <f t="shared" si="63"/>
        <v>5864</v>
      </c>
    </row>
    <row r="253" spans="1:31">
      <c r="A253" t="s">
        <v>39</v>
      </c>
      <c r="B253" t="str">
        <f t="shared" si="49"/>
        <v>Chad</v>
      </c>
      <c r="C253" t="s">
        <v>58</v>
      </c>
      <c r="D253" t="s">
        <v>1717</v>
      </c>
      <c r="E253" t="str">
        <f t="shared" si="50"/>
        <v>Mitchell</v>
      </c>
      <c r="F253" t="str">
        <f t="shared" si="51"/>
        <v>CHADMITCHELL</v>
      </c>
      <c r="G253" t="str">
        <f t="shared" si="52"/>
        <v>CHADMITCHELL</v>
      </c>
      <c r="H253" t="str">
        <f t="shared" si="53"/>
        <v>CHA MITCHELL</v>
      </c>
      <c r="I253" t="str">
        <f t="shared" si="54"/>
        <v>CHA.M</v>
      </c>
      <c r="J253" t="s">
        <v>42</v>
      </c>
      <c r="K253" t="s">
        <v>1718</v>
      </c>
      <c r="L253" t="s">
        <v>433</v>
      </c>
      <c r="M253" t="s">
        <v>177</v>
      </c>
      <c r="N253">
        <v>37209</v>
      </c>
      <c r="O253" t="str">
        <f t="shared" si="55"/>
        <v>37209</v>
      </c>
      <c r="P253" t="str">
        <f t="shared" si="48"/>
        <v>3108 Wilkinson Street, Nashville, TN, 37209</v>
      </c>
      <c r="Q253" t="s">
        <v>1719</v>
      </c>
      <c r="R253" t="str">
        <f t="shared" si="56"/>
        <v>ChadMMitchell</v>
      </c>
      <c r="S253" t="str">
        <f t="shared" si="57"/>
        <v>hotmail.com</v>
      </c>
      <c r="T253" t="str">
        <f t="shared" si="58"/>
        <v>hotmail</v>
      </c>
      <c r="U253" t="str">
        <f t="shared" si="59"/>
        <v>ChadMMitchell</v>
      </c>
      <c r="V253" t="s">
        <v>1720</v>
      </c>
      <c r="W253" t="str">
        <f t="shared" si="60"/>
        <v>615-</v>
      </c>
      <c r="X253" t="str">
        <f t="shared" si="61"/>
        <v>426</v>
      </c>
      <c r="Y253" t="str">
        <f t="shared" si="62"/>
        <v>-6227</v>
      </c>
      <c r="Z253" t="str">
        <f>SUBSTITUTE(V253,"-","|",2)</f>
        <v>615-426|6227</v>
      </c>
      <c r="AA253" t="str">
        <f>LEFT(V253,3)</f>
        <v>615</v>
      </c>
      <c r="AB253" t="str">
        <f>MID(V253,5,3)</f>
        <v>426</v>
      </c>
      <c r="AC253" t="str">
        <f>RIGHT(V253,4)</f>
        <v>6227</v>
      </c>
      <c r="AD253" s="3" t="s">
        <v>1721</v>
      </c>
      <c r="AE253" s="3" t="str">
        <f t="shared" si="63"/>
        <v>806</v>
      </c>
    </row>
    <row r="254" spans="1:31">
      <c r="A254" t="s">
        <v>1722</v>
      </c>
      <c r="B254" t="str">
        <f t="shared" si="49"/>
        <v>Lauren</v>
      </c>
      <c r="C254" t="s">
        <v>30</v>
      </c>
      <c r="D254" t="s">
        <v>1723</v>
      </c>
      <c r="E254" t="str">
        <f t="shared" si="50"/>
        <v>Keese</v>
      </c>
      <c r="F254" t="str">
        <f t="shared" si="51"/>
        <v>LAURENKEESE</v>
      </c>
      <c r="G254" t="str">
        <f t="shared" si="52"/>
        <v>LAURENKEESE</v>
      </c>
      <c r="H254" t="str">
        <f t="shared" si="53"/>
        <v>LAU KEESE</v>
      </c>
      <c r="I254" t="str">
        <f t="shared" si="54"/>
        <v>LAU.K</v>
      </c>
      <c r="J254" t="s">
        <v>32</v>
      </c>
      <c r="K254" t="s">
        <v>1724</v>
      </c>
      <c r="L254" t="s">
        <v>1725</v>
      </c>
      <c r="M254" t="s">
        <v>35</v>
      </c>
      <c r="N254">
        <v>61274</v>
      </c>
      <c r="O254" t="str">
        <f t="shared" si="55"/>
        <v>61274</v>
      </c>
      <c r="P254" t="str">
        <f t="shared" si="48"/>
        <v>2705 Trainer Avenue, Osco, IL, 61274</v>
      </c>
      <c r="Q254" t="s">
        <v>1726</v>
      </c>
      <c r="R254" t="str">
        <f t="shared" si="56"/>
        <v>LaurenJKeese</v>
      </c>
      <c r="S254" t="str">
        <f t="shared" si="57"/>
        <v>hotmail.com</v>
      </c>
      <c r="T254" t="str">
        <f t="shared" si="58"/>
        <v>hotmail</v>
      </c>
      <c r="U254" t="str">
        <f t="shared" si="59"/>
        <v>LaurenJKeese</v>
      </c>
      <c r="V254" t="s">
        <v>1727</v>
      </c>
      <c r="W254" t="str">
        <f t="shared" si="60"/>
        <v>309-</v>
      </c>
      <c r="X254" t="str">
        <f t="shared" si="61"/>
        <v>522</v>
      </c>
      <c r="Y254" t="str">
        <f t="shared" si="62"/>
        <v>-5188</v>
      </c>
      <c r="Z254" t="str">
        <f>SUBSTITUTE(V254,"-","|",2)</f>
        <v>309-522|5188</v>
      </c>
      <c r="AA254" t="str">
        <f>LEFT(V254,3)</f>
        <v>309</v>
      </c>
      <c r="AB254" t="str">
        <f>MID(V254,5,3)</f>
        <v>522</v>
      </c>
      <c r="AC254" t="str">
        <f>RIGHT(V254,4)</f>
        <v>5188</v>
      </c>
      <c r="AD254" s="3" t="s">
        <v>1728</v>
      </c>
      <c r="AE254" s="3" t="str">
        <f t="shared" si="63"/>
        <v>859</v>
      </c>
    </row>
    <row r="255" spans="1:31">
      <c r="A255" t="s">
        <v>615</v>
      </c>
      <c r="B255" t="str">
        <f t="shared" si="49"/>
        <v>Mary</v>
      </c>
      <c r="C255" t="s">
        <v>182</v>
      </c>
      <c r="D255" t="s">
        <v>1729</v>
      </c>
      <c r="E255" t="str">
        <f t="shared" si="50"/>
        <v>Hernandez</v>
      </c>
      <c r="F255" t="str">
        <f t="shared" si="51"/>
        <v>MARYHERNANDEZ</v>
      </c>
      <c r="G255" t="str">
        <f t="shared" si="52"/>
        <v>MARYHERNANDEZ</v>
      </c>
      <c r="H255" t="str">
        <f t="shared" si="53"/>
        <v>MAR HERNANDEZ</v>
      </c>
      <c r="I255" t="str">
        <f t="shared" si="54"/>
        <v>MAR.H</v>
      </c>
      <c r="J255" t="s">
        <v>32</v>
      </c>
      <c r="K255" t="s">
        <v>1730</v>
      </c>
      <c r="L255" t="s">
        <v>346</v>
      </c>
      <c r="M255" t="s">
        <v>347</v>
      </c>
      <c r="N255">
        <v>63101</v>
      </c>
      <c r="O255" t="str">
        <f t="shared" si="55"/>
        <v>63101</v>
      </c>
      <c r="P255" t="str">
        <f t="shared" si="48"/>
        <v>908 Bruce Street, Saint Louis, MO, 63101</v>
      </c>
      <c r="Q255" t="s">
        <v>1731</v>
      </c>
      <c r="R255" t="str">
        <f t="shared" si="56"/>
        <v>MaryCHernandez</v>
      </c>
      <c r="S255" t="str">
        <f t="shared" si="57"/>
        <v>aol.com</v>
      </c>
      <c r="T255" t="str">
        <f t="shared" si="58"/>
        <v>aol</v>
      </c>
      <c r="U255" t="str">
        <f t="shared" si="59"/>
        <v>MaryCHernandez</v>
      </c>
      <c r="V255" t="s">
        <v>1732</v>
      </c>
      <c r="W255" t="str">
        <f t="shared" si="60"/>
        <v>314-</v>
      </c>
      <c r="X255" t="str">
        <f t="shared" si="61"/>
        <v>340</v>
      </c>
      <c r="Y255" t="str">
        <f t="shared" si="62"/>
        <v>-4113</v>
      </c>
      <c r="Z255" t="str">
        <f>SUBSTITUTE(V255,"-","|",2)</f>
        <v>314-340|4113</v>
      </c>
      <c r="AA255" t="str">
        <f>LEFT(V255,3)</f>
        <v>314</v>
      </c>
      <c r="AB255" t="str">
        <f>MID(V255,5,3)</f>
        <v>340</v>
      </c>
      <c r="AC255" t="str">
        <f>RIGHT(V255,4)</f>
        <v>4113</v>
      </c>
      <c r="AD255" s="3" t="s">
        <v>1733</v>
      </c>
      <c r="AE255" s="3" t="str">
        <f t="shared" si="63"/>
        <v>696</v>
      </c>
    </row>
    <row r="256" spans="1:31">
      <c r="A256" t="s">
        <v>430</v>
      </c>
      <c r="B256" t="str">
        <f t="shared" si="49"/>
        <v>Victor</v>
      </c>
      <c r="C256" t="s">
        <v>116</v>
      </c>
      <c r="D256" t="s">
        <v>1734</v>
      </c>
      <c r="E256" t="str">
        <f t="shared" si="50"/>
        <v>Vest</v>
      </c>
      <c r="F256" t="str">
        <f t="shared" si="51"/>
        <v>VICTORVEST</v>
      </c>
      <c r="G256" t="str">
        <f t="shared" si="52"/>
        <v>VICTORVEST</v>
      </c>
      <c r="H256" t="str">
        <f t="shared" si="53"/>
        <v>VIC VEST</v>
      </c>
      <c r="I256" t="str">
        <f t="shared" si="54"/>
        <v>VIC.V</v>
      </c>
      <c r="J256" t="s">
        <v>42</v>
      </c>
      <c r="K256" t="s">
        <v>1735</v>
      </c>
      <c r="L256" t="s">
        <v>232</v>
      </c>
      <c r="M256" t="s">
        <v>45</v>
      </c>
      <c r="N256">
        <v>90017</v>
      </c>
      <c r="O256" t="str">
        <f t="shared" si="55"/>
        <v>90017</v>
      </c>
      <c r="P256" t="str">
        <f t="shared" si="48"/>
        <v>222 Middleville Road, Los Angeles, CA, 90017</v>
      </c>
      <c r="Q256" t="s">
        <v>1736</v>
      </c>
      <c r="R256" t="str">
        <f t="shared" si="56"/>
        <v>VictorHVest</v>
      </c>
      <c r="S256" t="str">
        <f t="shared" si="57"/>
        <v>gmail.com</v>
      </c>
      <c r="T256" t="str">
        <f t="shared" si="58"/>
        <v>gmail</v>
      </c>
      <c r="U256" t="str">
        <f t="shared" si="59"/>
        <v>VictorHVest</v>
      </c>
      <c r="V256" t="s">
        <v>1737</v>
      </c>
      <c r="W256" t="str">
        <f t="shared" si="60"/>
        <v>626-</v>
      </c>
      <c r="X256" t="str">
        <f t="shared" si="61"/>
        <v>320</v>
      </c>
      <c r="Y256" t="str">
        <f t="shared" si="62"/>
        <v>-5237</v>
      </c>
      <c r="Z256" t="str">
        <f>SUBSTITUTE(V256,"-","|",2)</f>
        <v>626-320|5237</v>
      </c>
      <c r="AA256" t="str">
        <f>LEFT(V256,3)</f>
        <v>626</v>
      </c>
      <c r="AB256" t="str">
        <f>MID(V256,5,3)</f>
        <v>320</v>
      </c>
      <c r="AC256" t="str">
        <f>RIGHT(V256,4)</f>
        <v>5237</v>
      </c>
      <c r="AD256" s="3" t="s">
        <v>1738</v>
      </c>
      <c r="AE256" s="3" t="str">
        <f t="shared" si="63"/>
        <v>514</v>
      </c>
    </row>
    <row r="257" spans="1:31">
      <c r="A257" t="s">
        <v>1739</v>
      </c>
      <c r="B257" t="str">
        <f t="shared" si="49"/>
        <v>Shirley</v>
      </c>
      <c r="C257" t="s">
        <v>30</v>
      </c>
      <c r="D257" t="s">
        <v>1740</v>
      </c>
      <c r="E257" t="str">
        <f t="shared" si="50"/>
        <v>Davenport</v>
      </c>
      <c r="F257" t="str">
        <f t="shared" si="51"/>
        <v>SHIRLEYDAVENPORT</v>
      </c>
      <c r="G257" t="str">
        <f t="shared" si="52"/>
        <v>SHIRLEYDAVENPORT</v>
      </c>
      <c r="H257" t="str">
        <f t="shared" si="53"/>
        <v>SHI DAVENPORT</v>
      </c>
      <c r="I257" t="str">
        <f t="shared" si="54"/>
        <v>SHI.D</v>
      </c>
      <c r="J257" t="s">
        <v>32</v>
      </c>
      <c r="K257" t="s">
        <v>1741</v>
      </c>
      <c r="L257" t="s">
        <v>1742</v>
      </c>
      <c r="M257" t="s">
        <v>331</v>
      </c>
      <c r="N257">
        <v>83642</v>
      </c>
      <c r="O257" t="str">
        <f t="shared" si="55"/>
        <v>83642</v>
      </c>
      <c r="P257" t="str">
        <f t="shared" si="48"/>
        <v>2863 Modoc Alley, Meridian, ID, 83642</v>
      </c>
      <c r="Q257" t="s">
        <v>1743</v>
      </c>
      <c r="R257" t="str">
        <f t="shared" si="56"/>
        <v>ShirleyJDavenport</v>
      </c>
      <c r="S257" t="str">
        <f t="shared" si="57"/>
        <v>hotmail.com</v>
      </c>
      <c r="T257" t="str">
        <f t="shared" si="58"/>
        <v>hotmail</v>
      </c>
      <c r="U257" t="str">
        <f t="shared" si="59"/>
        <v>ShirleyJDavenport</v>
      </c>
      <c r="V257" t="s">
        <v>1744</v>
      </c>
      <c r="W257" t="str">
        <f t="shared" si="60"/>
        <v>208-</v>
      </c>
      <c r="X257" t="str">
        <f t="shared" si="61"/>
        <v>846</v>
      </c>
      <c r="Y257" t="str">
        <f t="shared" si="62"/>
        <v>-4255</v>
      </c>
      <c r="Z257" t="str">
        <f>SUBSTITUTE(V257,"-","|",2)</f>
        <v>208-846|4255</v>
      </c>
      <c r="AA257" t="str">
        <f>LEFT(V257,3)</f>
        <v>208</v>
      </c>
      <c r="AB257" t="str">
        <f>MID(V257,5,3)</f>
        <v>846</v>
      </c>
      <c r="AC257" t="str">
        <f>RIGHT(V257,4)</f>
        <v>4255</v>
      </c>
      <c r="AD257" s="3" t="s">
        <v>1745</v>
      </c>
      <c r="AE257" s="3" t="str">
        <f t="shared" si="63"/>
        <v>103</v>
      </c>
    </row>
    <row r="258" spans="1:31">
      <c r="A258" t="s">
        <v>1746</v>
      </c>
      <c r="B258" t="str">
        <f t="shared" si="49"/>
        <v>Thomas</v>
      </c>
      <c r="C258" t="s">
        <v>297</v>
      </c>
      <c r="D258" t="s">
        <v>1747</v>
      </c>
      <c r="E258" t="str">
        <f t="shared" si="50"/>
        <v>Miller</v>
      </c>
      <c r="F258" t="str">
        <f t="shared" si="51"/>
        <v>THOMASMILLER</v>
      </c>
      <c r="G258" t="str">
        <f t="shared" si="52"/>
        <v>THOMASMILLER</v>
      </c>
      <c r="H258" t="str">
        <f t="shared" si="53"/>
        <v>THO MILLER</v>
      </c>
      <c r="I258" t="str">
        <f t="shared" si="54"/>
        <v>THO.M</v>
      </c>
      <c r="J258" t="s">
        <v>42</v>
      </c>
      <c r="K258" t="s">
        <v>1748</v>
      </c>
      <c r="L258" t="s">
        <v>1749</v>
      </c>
      <c r="M258" t="s">
        <v>1632</v>
      </c>
      <c r="N258">
        <v>6702</v>
      </c>
      <c r="O258" t="str">
        <f t="shared" si="55"/>
        <v>06702</v>
      </c>
      <c r="P258" t="str">
        <f t="shared" ref="P258:P321" si="64">K258&amp;", "&amp;L258&amp;", "&amp;M258&amp;", "&amp;N258</f>
        <v>4598 Asylum Avenue, Waterbury, CT, 6702</v>
      </c>
      <c r="Q258" t="s">
        <v>1750</v>
      </c>
      <c r="R258" t="str">
        <f t="shared" si="56"/>
        <v>ThomasTMiller</v>
      </c>
      <c r="S258" t="str">
        <f t="shared" si="57"/>
        <v>aol.com</v>
      </c>
      <c r="T258" t="str">
        <f t="shared" si="58"/>
        <v>aol</v>
      </c>
      <c r="U258" t="str">
        <f t="shared" si="59"/>
        <v>ThomasTMiller</v>
      </c>
      <c r="V258" t="s">
        <v>1751</v>
      </c>
      <c r="W258" t="str">
        <f t="shared" si="60"/>
        <v>203-</v>
      </c>
      <c r="X258" t="str">
        <f t="shared" si="61"/>
        <v>756</v>
      </c>
      <c r="Y258" t="str">
        <f t="shared" si="62"/>
        <v>-4654</v>
      </c>
      <c r="Z258" t="str">
        <f>SUBSTITUTE(V258,"-","|",2)</f>
        <v>203-756|4654</v>
      </c>
      <c r="AA258" t="str">
        <f>LEFT(V258,3)</f>
        <v>203</v>
      </c>
      <c r="AB258" t="str">
        <f>MID(V258,5,3)</f>
        <v>756</v>
      </c>
      <c r="AC258" t="str">
        <f>RIGHT(V258,4)</f>
        <v>4654</v>
      </c>
      <c r="AD258" s="3" t="s">
        <v>1752</v>
      </c>
      <c r="AE258" s="3" t="str">
        <f t="shared" si="63"/>
        <v>058</v>
      </c>
    </row>
    <row r="259" spans="1:31">
      <c r="A259" t="s">
        <v>1753</v>
      </c>
      <c r="B259" t="str">
        <f t="shared" ref="B259:B322" si="65">TRIM(PROPER(A259))</f>
        <v>Bobby</v>
      </c>
      <c r="C259" t="s">
        <v>149</v>
      </c>
      <c r="D259" t="s">
        <v>1754</v>
      </c>
      <c r="E259" t="str">
        <f t="shared" ref="E259:E322" si="66">TRIM(PROPER(D259))</f>
        <v>Peterson</v>
      </c>
      <c r="F259" t="str">
        <f t="shared" ref="F259:F322" si="67">A259&amp;""&amp;D259</f>
        <v>BOBBYPETERSON</v>
      </c>
      <c r="G259" t="str">
        <f t="shared" ref="G259:G322" si="68">CONCATENATE(A259,D259)</f>
        <v>BOBBYPETERSON</v>
      </c>
      <c r="H259" t="str">
        <f t="shared" ref="H259:H322" si="69">LEFT(A259,3)&amp;" "&amp;D259</f>
        <v>BOB PETERSON</v>
      </c>
      <c r="I259" t="str">
        <f t="shared" ref="I259:I322" si="70">LEFT(A259,3)&amp;"."&amp;LEFT(D259,1)</f>
        <v>BOB.P</v>
      </c>
      <c r="J259" t="s">
        <v>42</v>
      </c>
      <c r="K259" t="s">
        <v>1755</v>
      </c>
      <c r="L259" t="s">
        <v>433</v>
      </c>
      <c r="M259" t="s">
        <v>177</v>
      </c>
      <c r="N259">
        <v>37201</v>
      </c>
      <c r="O259" t="str">
        <f t="shared" ref="O259:O322" si="71">IF(LEN(N259)=5,TEXT(N259,"#####"),IF(LEN(N259)=4,TEXT(N259,"0####")))</f>
        <v>37201</v>
      </c>
      <c r="P259" t="str">
        <f t="shared" si="64"/>
        <v>3420 Glory Road, Nashville, TN, 37201</v>
      </c>
      <c r="Q259" t="s">
        <v>1756</v>
      </c>
      <c r="R259" t="str">
        <f t="shared" ref="R259:R322" si="72">LEFT(Q259,SEARCH("@",Q259)-1)</f>
        <v>BobbyPPeterson</v>
      </c>
      <c r="S259" t="str">
        <f t="shared" ref="S259:S322" si="73">RIGHT(Q259,LEN(Q259)-SEARCH("@",Q259))</f>
        <v>gmail.com</v>
      </c>
      <c r="T259" t="str">
        <f t="shared" ref="T259:T322" si="74">IF(ISNUMBER(SEARCH("gmail",Q259)),"gmail",IF(ISNUMBER(SEARCH("aol",Q259)),"aol",IF(ISNUMBER(SEARCH("hotmail",Q259)),"hotmail","other")))</f>
        <v>gmail</v>
      </c>
      <c r="U259" t="str">
        <f t="shared" ref="U259:U322" si="75">LEFT(Q259,SEARCH("@",Q259)-1)</f>
        <v>BobbyPPeterson</v>
      </c>
      <c r="V259" t="s">
        <v>1757</v>
      </c>
      <c r="W259" t="str">
        <f t="shared" ref="W259:W322" si="76">LEFT(V259,4)</f>
        <v>931-</v>
      </c>
      <c r="X259" t="str">
        <f t="shared" ref="X259:X322" si="77">MID(V259,5,3)</f>
        <v>903</v>
      </c>
      <c r="Y259" t="str">
        <f t="shared" ref="Y259:Y322" si="78">RIGHT(V259,5)</f>
        <v>-7838</v>
      </c>
      <c r="Z259" t="str">
        <f>SUBSTITUTE(V259,"-","|",2)</f>
        <v>931-903|7838</v>
      </c>
      <c r="AA259" t="str">
        <f>LEFT(V259,3)</f>
        <v>931</v>
      </c>
      <c r="AB259" t="str">
        <f>MID(V259,5,3)</f>
        <v>903</v>
      </c>
      <c r="AC259" t="str">
        <f>RIGHT(V259,4)</f>
        <v>7838</v>
      </c>
      <c r="AD259" s="3" t="s">
        <v>1758</v>
      </c>
      <c r="AE259" s="3" t="str">
        <f t="shared" ref="AE259:AE322" si="79">RIGHT(AD259,LEN(AD259)-SEARCH("-",AD259))</f>
        <v>908</v>
      </c>
    </row>
    <row r="260" spans="1:31">
      <c r="A260" t="s">
        <v>1759</v>
      </c>
      <c r="B260" t="str">
        <f t="shared" si="65"/>
        <v>Cecelia</v>
      </c>
      <c r="C260" t="s">
        <v>67</v>
      </c>
      <c r="D260" t="s">
        <v>1760</v>
      </c>
      <c r="E260" t="str">
        <f t="shared" si="66"/>
        <v>Maniscalco</v>
      </c>
      <c r="F260" t="str">
        <f t="shared" si="67"/>
        <v>CECELIAMANISCALCO</v>
      </c>
      <c r="G260" t="str">
        <f t="shared" si="68"/>
        <v>CECELIAMANISCALCO</v>
      </c>
      <c r="H260" t="str">
        <f t="shared" si="69"/>
        <v>CEC MANISCALCO</v>
      </c>
      <c r="I260" t="str">
        <f t="shared" si="70"/>
        <v>CEC.M</v>
      </c>
      <c r="J260" t="s">
        <v>32</v>
      </c>
      <c r="K260" t="s">
        <v>1761</v>
      </c>
      <c r="L260" t="s">
        <v>1762</v>
      </c>
      <c r="M260" t="s">
        <v>482</v>
      </c>
      <c r="N260">
        <v>74003</v>
      </c>
      <c r="O260" t="str">
        <f t="shared" si="71"/>
        <v>74003</v>
      </c>
      <c r="P260" t="str">
        <f t="shared" si="64"/>
        <v>208 Hornor Avenue, Bartlesville, OK, 74003</v>
      </c>
      <c r="Q260" t="s">
        <v>1763</v>
      </c>
      <c r="R260" t="str">
        <f t="shared" si="72"/>
        <v>CeceliaDManiscalco</v>
      </c>
      <c r="S260" t="str">
        <f t="shared" si="73"/>
        <v>gmail.com</v>
      </c>
      <c r="T260" t="str">
        <f t="shared" si="74"/>
        <v>gmail</v>
      </c>
      <c r="U260" t="str">
        <f t="shared" si="75"/>
        <v>CeceliaDManiscalco</v>
      </c>
      <c r="V260" t="s">
        <v>1764</v>
      </c>
      <c r="W260" t="str">
        <f t="shared" si="76"/>
        <v>918-</v>
      </c>
      <c r="X260" t="str">
        <f t="shared" si="77"/>
        <v>327</v>
      </c>
      <c r="Y260" t="str">
        <f t="shared" si="78"/>
        <v>-4974</v>
      </c>
      <c r="Z260" t="str">
        <f>SUBSTITUTE(V260,"-","|",2)</f>
        <v>918-327|4974</v>
      </c>
      <c r="AA260" t="str">
        <f>LEFT(V260,3)</f>
        <v>918</v>
      </c>
      <c r="AB260" t="str">
        <f>MID(V260,5,3)</f>
        <v>327</v>
      </c>
      <c r="AC260" t="str">
        <f>RIGHT(V260,4)</f>
        <v>4974</v>
      </c>
      <c r="AD260" s="3" t="s">
        <v>1765</v>
      </c>
      <c r="AE260" s="3" t="str">
        <f t="shared" si="79"/>
        <v>6507</v>
      </c>
    </row>
    <row r="261" spans="1:31">
      <c r="A261" t="s">
        <v>1415</v>
      </c>
      <c r="B261" t="str">
        <f t="shared" si="65"/>
        <v>Dorothy</v>
      </c>
      <c r="C261" t="s">
        <v>58</v>
      </c>
      <c r="D261" t="s">
        <v>1766</v>
      </c>
      <c r="E261" t="str">
        <f t="shared" si="66"/>
        <v>Curry</v>
      </c>
      <c r="F261" t="str">
        <f t="shared" si="67"/>
        <v>DOROTHYCURRY</v>
      </c>
      <c r="G261" t="str">
        <f t="shared" si="68"/>
        <v>DOROTHYCURRY</v>
      </c>
      <c r="H261" t="str">
        <f t="shared" si="69"/>
        <v>DOR CURRY</v>
      </c>
      <c r="I261" t="str">
        <f t="shared" si="70"/>
        <v>DOR.C</v>
      </c>
      <c r="J261" t="s">
        <v>32</v>
      </c>
      <c r="K261" t="s">
        <v>1767</v>
      </c>
      <c r="L261" t="s">
        <v>1768</v>
      </c>
      <c r="M261" t="s">
        <v>256</v>
      </c>
      <c r="N261">
        <v>27401</v>
      </c>
      <c r="O261" t="str">
        <f t="shared" si="71"/>
        <v>27401</v>
      </c>
      <c r="P261" t="str">
        <f t="shared" si="64"/>
        <v>3950 Bryan Street, Greensboro, NC, 27401</v>
      </c>
      <c r="Q261" t="s">
        <v>1769</v>
      </c>
      <c r="R261" t="str">
        <f t="shared" si="72"/>
        <v>DorothyMCurry</v>
      </c>
      <c r="S261" t="str">
        <f t="shared" si="73"/>
        <v>hotmail.com</v>
      </c>
      <c r="T261" t="str">
        <f t="shared" si="74"/>
        <v>hotmail</v>
      </c>
      <c r="U261" t="str">
        <f t="shared" si="75"/>
        <v>DorothyMCurry</v>
      </c>
      <c r="V261" t="s">
        <v>1770</v>
      </c>
      <c r="W261" t="str">
        <f t="shared" si="76"/>
        <v>336-</v>
      </c>
      <c r="X261" t="str">
        <f t="shared" si="77"/>
        <v>272</v>
      </c>
      <c r="Y261" t="str">
        <f t="shared" si="78"/>
        <v>-7849</v>
      </c>
      <c r="Z261" t="str">
        <f>SUBSTITUTE(V261,"-","|",2)</f>
        <v>336-272|7849</v>
      </c>
      <c r="AA261" t="str">
        <f>LEFT(V261,3)</f>
        <v>336</v>
      </c>
      <c r="AB261" t="str">
        <f>MID(V261,5,3)</f>
        <v>272</v>
      </c>
      <c r="AC261" t="str">
        <f>RIGHT(V261,4)</f>
        <v>7849</v>
      </c>
      <c r="AD261" s="3" t="s">
        <v>1771</v>
      </c>
      <c r="AE261" s="3" t="str">
        <f t="shared" si="79"/>
        <v>083</v>
      </c>
    </row>
    <row r="262" spans="1:31">
      <c r="A262" t="s">
        <v>66</v>
      </c>
      <c r="B262" t="str">
        <f t="shared" si="65"/>
        <v>John</v>
      </c>
      <c r="C262" t="s">
        <v>141</v>
      </c>
      <c r="D262" t="s">
        <v>1772</v>
      </c>
      <c r="E262" t="str">
        <f t="shared" si="66"/>
        <v>Sutter</v>
      </c>
      <c r="F262" t="str">
        <f t="shared" si="67"/>
        <v>JOHNSUTTER</v>
      </c>
      <c r="G262" t="str">
        <f t="shared" si="68"/>
        <v>JOHNSUTTER</v>
      </c>
      <c r="H262" t="str">
        <f t="shared" si="69"/>
        <v>JOH SUTTER</v>
      </c>
      <c r="I262" t="str">
        <f t="shared" si="70"/>
        <v>JOH.S</v>
      </c>
      <c r="J262" t="s">
        <v>42</v>
      </c>
      <c r="K262" t="s">
        <v>1773</v>
      </c>
      <c r="L262" t="s">
        <v>837</v>
      </c>
      <c r="M262" t="s">
        <v>323</v>
      </c>
      <c r="N262">
        <v>55406</v>
      </c>
      <c r="O262" t="str">
        <f t="shared" si="71"/>
        <v>55406</v>
      </c>
      <c r="P262" t="str">
        <f t="shared" si="64"/>
        <v>3879 Rocket Drive, Minneapolis, MN, 55406</v>
      </c>
      <c r="Q262" t="s">
        <v>1774</v>
      </c>
      <c r="R262" t="str">
        <f t="shared" si="72"/>
        <v>JohnESutter</v>
      </c>
      <c r="S262" t="str">
        <f t="shared" si="73"/>
        <v>hotmail.com</v>
      </c>
      <c r="T262" t="str">
        <f t="shared" si="74"/>
        <v>hotmail</v>
      </c>
      <c r="U262" t="str">
        <f t="shared" si="75"/>
        <v>JohnESutter</v>
      </c>
      <c r="V262" t="s">
        <v>1775</v>
      </c>
      <c r="W262" t="str">
        <f t="shared" si="76"/>
        <v>612-</v>
      </c>
      <c r="X262" t="str">
        <f t="shared" si="77"/>
        <v>802</v>
      </c>
      <c r="Y262" t="str">
        <f t="shared" si="78"/>
        <v>-7642</v>
      </c>
      <c r="Z262" t="str">
        <f>SUBSTITUTE(V262,"-","|",2)</f>
        <v>612-802|7642</v>
      </c>
      <c r="AA262" t="str">
        <f>LEFT(V262,3)</f>
        <v>612</v>
      </c>
      <c r="AB262" t="str">
        <f>MID(V262,5,3)</f>
        <v>802</v>
      </c>
      <c r="AC262" t="str">
        <f>RIGHT(V262,4)</f>
        <v>7642</v>
      </c>
      <c r="AD262" s="3" t="s">
        <v>1776</v>
      </c>
      <c r="AE262" s="3" t="str">
        <f t="shared" si="79"/>
        <v>3278</v>
      </c>
    </row>
    <row r="263" spans="1:31">
      <c r="A263" t="s">
        <v>654</v>
      </c>
      <c r="B263" t="str">
        <f t="shared" si="65"/>
        <v>Michael</v>
      </c>
      <c r="C263" t="s">
        <v>166</v>
      </c>
      <c r="D263" t="s">
        <v>1777</v>
      </c>
      <c r="E263" t="str">
        <f t="shared" si="66"/>
        <v>Sackett</v>
      </c>
      <c r="F263" t="str">
        <f t="shared" si="67"/>
        <v>MICHAELSACKETT</v>
      </c>
      <c r="G263" t="str">
        <f t="shared" si="68"/>
        <v>MICHAELSACKETT</v>
      </c>
      <c r="H263" t="str">
        <f t="shared" si="69"/>
        <v>MIC SACKETT</v>
      </c>
      <c r="I263" t="str">
        <f t="shared" si="70"/>
        <v>MIC.S</v>
      </c>
      <c r="J263" t="s">
        <v>42</v>
      </c>
      <c r="K263" t="s">
        <v>1778</v>
      </c>
      <c r="L263" t="s">
        <v>1779</v>
      </c>
      <c r="M263" t="s">
        <v>104</v>
      </c>
      <c r="N263">
        <v>13064</v>
      </c>
      <c r="O263" t="str">
        <f t="shared" si="71"/>
        <v>13064</v>
      </c>
      <c r="P263" t="str">
        <f t="shared" si="64"/>
        <v>1250 James Avenue, Fair Haven (Cayuga), NY, 13064</v>
      </c>
      <c r="Q263" t="s">
        <v>1780</v>
      </c>
      <c r="R263" t="str">
        <f t="shared" si="72"/>
        <v>MichaelBSackett</v>
      </c>
      <c r="S263" t="str">
        <f t="shared" si="73"/>
        <v>gmail.com</v>
      </c>
      <c r="T263" t="str">
        <f t="shared" si="74"/>
        <v>gmail</v>
      </c>
      <c r="U263" t="str">
        <f t="shared" si="75"/>
        <v>MichaelBSackett</v>
      </c>
      <c r="V263" t="s">
        <v>1781</v>
      </c>
      <c r="W263" t="str">
        <f t="shared" si="76"/>
        <v>315-</v>
      </c>
      <c r="X263" t="str">
        <f t="shared" si="77"/>
        <v>947</v>
      </c>
      <c r="Y263" t="str">
        <f t="shared" si="78"/>
        <v>-9213</v>
      </c>
      <c r="Z263" t="str">
        <f>SUBSTITUTE(V263,"-","|",2)</f>
        <v>315-947|9213</v>
      </c>
      <c r="AA263" t="str">
        <f>LEFT(V263,3)</f>
        <v>315</v>
      </c>
      <c r="AB263" t="str">
        <f>MID(V263,5,3)</f>
        <v>947</v>
      </c>
      <c r="AC263" t="str">
        <f>RIGHT(V263,4)</f>
        <v>9213</v>
      </c>
      <c r="AD263" s="3" t="s">
        <v>1782</v>
      </c>
      <c r="AE263" s="3" t="str">
        <f t="shared" si="79"/>
        <v>927</v>
      </c>
    </row>
    <row r="264" spans="1:31">
      <c r="A264" t="s">
        <v>1524</v>
      </c>
      <c r="B264" t="str">
        <f t="shared" si="65"/>
        <v>Paul</v>
      </c>
      <c r="C264" t="s">
        <v>182</v>
      </c>
      <c r="D264" t="s">
        <v>1783</v>
      </c>
      <c r="E264" t="str">
        <f t="shared" si="66"/>
        <v>Cook</v>
      </c>
      <c r="F264" t="str">
        <f t="shared" si="67"/>
        <v>PAULCOOK</v>
      </c>
      <c r="G264" t="str">
        <f t="shared" si="68"/>
        <v>PAULCOOK</v>
      </c>
      <c r="H264" t="str">
        <f t="shared" si="69"/>
        <v>PAU COOK</v>
      </c>
      <c r="I264" t="str">
        <f t="shared" si="70"/>
        <v>PAU.C</v>
      </c>
      <c r="J264" t="s">
        <v>42</v>
      </c>
      <c r="K264" t="s">
        <v>1784</v>
      </c>
      <c r="L264" t="s">
        <v>1785</v>
      </c>
      <c r="M264" t="s">
        <v>323</v>
      </c>
      <c r="N264">
        <v>56141</v>
      </c>
      <c r="O264" t="str">
        <f t="shared" si="71"/>
        <v>56141</v>
      </c>
      <c r="P264" t="str">
        <f t="shared" si="64"/>
        <v>1225 Rosewood Court, Iona, MN, 56141</v>
      </c>
      <c r="Q264" t="s">
        <v>1786</v>
      </c>
      <c r="R264" t="str">
        <f t="shared" si="72"/>
        <v>PaulCCook</v>
      </c>
      <c r="S264" t="str">
        <f t="shared" si="73"/>
        <v>aol.com</v>
      </c>
      <c r="T264" t="str">
        <f t="shared" si="74"/>
        <v>aol</v>
      </c>
      <c r="U264" t="str">
        <f t="shared" si="75"/>
        <v>PaulCCook</v>
      </c>
      <c r="V264" t="s">
        <v>1787</v>
      </c>
      <c r="W264" t="str">
        <f t="shared" si="76"/>
        <v>507-</v>
      </c>
      <c r="X264" t="str">
        <f t="shared" si="77"/>
        <v>264</v>
      </c>
      <c r="Y264" t="str">
        <f t="shared" si="78"/>
        <v>-9162</v>
      </c>
      <c r="Z264" t="str">
        <f>SUBSTITUTE(V264,"-","|",2)</f>
        <v>507-264|9162</v>
      </c>
      <c r="AA264" t="str">
        <f>LEFT(V264,3)</f>
        <v>507</v>
      </c>
      <c r="AB264" t="str">
        <f>MID(V264,5,3)</f>
        <v>264</v>
      </c>
      <c r="AC264" t="str">
        <f>RIGHT(V264,4)</f>
        <v>9162</v>
      </c>
      <c r="AD264" s="3" t="s">
        <v>1788</v>
      </c>
      <c r="AE264" s="3" t="str">
        <f t="shared" si="79"/>
        <v>736</v>
      </c>
    </row>
    <row r="265" spans="1:31">
      <c r="A265" t="s">
        <v>251</v>
      </c>
      <c r="B265" t="str">
        <f t="shared" si="65"/>
        <v>Robert</v>
      </c>
      <c r="C265" t="s">
        <v>67</v>
      </c>
      <c r="D265" t="s">
        <v>1789</v>
      </c>
      <c r="E265" t="str">
        <f t="shared" si="66"/>
        <v>Behrens</v>
      </c>
      <c r="F265" t="str">
        <f t="shared" si="67"/>
        <v>ROBERTBEHRENS</v>
      </c>
      <c r="G265" t="str">
        <f t="shared" si="68"/>
        <v>ROBERTBEHRENS</v>
      </c>
      <c r="H265" t="str">
        <f t="shared" si="69"/>
        <v>ROB BEHRENS</v>
      </c>
      <c r="I265" t="str">
        <f t="shared" si="70"/>
        <v>ROB.B</v>
      </c>
      <c r="J265" t="s">
        <v>42</v>
      </c>
      <c r="K265" t="s">
        <v>1790</v>
      </c>
      <c r="L265" t="s">
        <v>1157</v>
      </c>
      <c r="M265" t="s">
        <v>104</v>
      </c>
      <c r="N265">
        <v>10033</v>
      </c>
      <c r="O265" t="str">
        <f t="shared" si="71"/>
        <v>10033</v>
      </c>
      <c r="P265" t="str">
        <f t="shared" si="64"/>
        <v>714 Rosewood Lane, New York, NY, 10033</v>
      </c>
      <c r="Q265" t="s">
        <v>1791</v>
      </c>
      <c r="R265" t="str">
        <f t="shared" si="72"/>
        <v>RobertDBehrens</v>
      </c>
      <c r="S265" t="str">
        <f t="shared" si="73"/>
        <v>gmail.com</v>
      </c>
      <c r="T265" t="str">
        <f t="shared" si="74"/>
        <v>gmail</v>
      </c>
      <c r="U265" t="str">
        <f t="shared" si="75"/>
        <v>RobertDBehrens</v>
      </c>
      <c r="V265" t="s">
        <v>1792</v>
      </c>
      <c r="W265" t="str">
        <f t="shared" si="76"/>
        <v>212-</v>
      </c>
      <c r="X265" t="str">
        <f t="shared" si="77"/>
        <v>923</v>
      </c>
      <c r="Y265" t="str">
        <f t="shared" si="78"/>
        <v>-0087</v>
      </c>
      <c r="Z265" t="str">
        <f>SUBSTITUTE(V265,"-","|",2)</f>
        <v>212-923|0087</v>
      </c>
      <c r="AA265" t="str">
        <f>LEFT(V265,3)</f>
        <v>212</v>
      </c>
      <c r="AB265" t="str">
        <f>MID(V265,5,3)</f>
        <v>923</v>
      </c>
      <c r="AC265" t="str">
        <f>RIGHT(V265,4)</f>
        <v>0087</v>
      </c>
      <c r="AD265" s="3" t="s">
        <v>1793</v>
      </c>
      <c r="AE265" s="3" t="str">
        <f t="shared" si="79"/>
        <v>435</v>
      </c>
    </row>
    <row r="266" spans="1:31">
      <c r="A266" t="s">
        <v>1794</v>
      </c>
      <c r="B266" t="str">
        <f t="shared" si="65"/>
        <v>Chester</v>
      </c>
      <c r="C266" t="s">
        <v>40</v>
      </c>
      <c r="D266" t="s">
        <v>1795</v>
      </c>
      <c r="E266" t="str">
        <f t="shared" si="66"/>
        <v>Robinson</v>
      </c>
      <c r="F266" t="str">
        <f t="shared" si="67"/>
        <v>CHESTERROBINSON</v>
      </c>
      <c r="G266" t="str">
        <f t="shared" si="68"/>
        <v>CHESTERROBINSON</v>
      </c>
      <c r="H266" t="str">
        <f t="shared" si="69"/>
        <v>CHE ROBINSON</v>
      </c>
      <c r="I266" t="str">
        <f t="shared" si="70"/>
        <v>CHE.R</v>
      </c>
      <c r="J266" t="s">
        <v>42</v>
      </c>
      <c r="K266" t="s">
        <v>1796</v>
      </c>
      <c r="L266" t="s">
        <v>1797</v>
      </c>
      <c r="M266" t="s">
        <v>323</v>
      </c>
      <c r="N266">
        <v>56001</v>
      </c>
      <c r="O266" t="str">
        <f t="shared" si="71"/>
        <v>56001</v>
      </c>
      <c r="P266" t="str">
        <f t="shared" si="64"/>
        <v>202 Pritchard Court, Mankato, MN, 56001</v>
      </c>
      <c r="Q266" t="s">
        <v>1798</v>
      </c>
      <c r="R266" t="str">
        <f t="shared" si="72"/>
        <v>ChesterSRobinson</v>
      </c>
      <c r="S266" t="str">
        <f t="shared" si="73"/>
        <v>hotmail.com</v>
      </c>
      <c r="T266" t="str">
        <f t="shared" si="74"/>
        <v>hotmail</v>
      </c>
      <c r="U266" t="str">
        <f t="shared" si="75"/>
        <v>ChesterSRobinson</v>
      </c>
      <c r="V266" t="s">
        <v>1799</v>
      </c>
      <c r="W266" t="str">
        <f t="shared" si="76"/>
        <v>507-</v>
      </c>
      <c r="X266" t="str">
        <f t="shared" si="77"/>
        <v>380</v>
      </c>
      <c r="Y266" t="str">
        <f t="shared" si="78"/>
        <v>-7249</v>
      </c>
      <c r="Z266" t="str">
        <f>SUBSTITUTE(V266,"-","|",2)</f>
        <v>507-380|7249</v>
      </c>
      <c r="AA266" t="str">
        <f>LEFT(V266,3)</f>
        <v>507</v>
      </c>
      <c r="AB266" t="str">
        <f>MID(V266,5,3)</f>
        <v>380</v>
      </c>
      <c r="AC266" t="str">
        <f>RIGHT(V266,4)</f>
        <v>7249</v>
      </c>
      <c r="AD266" s="3" t="s">
        <v>1800</v>
      </c>
      <c r="AE266" s="3" t="str">
        <f t="shared" si="79"/>
        <v>1070</v>
      </c>
    </row>
    <row r="267" spans="1:31">
      <c r="A267" t="s">
        <v>1801</v>
      </c>
      <c r="B267" t="str">
        <f t="shared" si="65"/>
        <v>Fredrick</v>
      </c>
      <c r="C267" t="s">
        <v>270</v>
      </c>
      <c r="D267" t="s">
        <v>1802</v>
      </c>
      <c r="E267" t="str">
        <f t="shared" si="66"/>
        <v>Kirst</v>
      </c>
      <c r="F267" t="str">
        <f t="shared" si="67"/>
        <v>FREDRICKKIRST</v>
      </c>
      <c r="G267" t="str">
        <f t="shared" si="68"/>
        <v>FREDRICKKIRST</v>
      </c>
      <c r="H267" t="str">
        <f t="shared" si="69"/>
        <v>FRE KIRST</v>
      </c>
      <c r="I267" t="str">
        <f t="shared" si="70"/>
        <v>FRE.K</v>
      </c>
      <c r="J267" t="s">
        <v>42</v>
      </c>
      <c r="K267" t="s">
        <v>1803</v>
      </c>
      <c r="L267" t="s">
        <v>1804</v>
      </c>
      <c r="M267" t="s">
        <v>88</v>
      </c>
      <c r="N267">
        <v>75601</v>
      </c>
      <c r="O267" t="str">
        <f t="shared" si="71"/>
        <v>75601</v>
      </c>
      <c r="P267" t="str">
        <f t="shared" si="64"/>
        <v>3617 Pickens Way, Longview, TX, 75601</v>
      </c>
      <c r="Q267" t="s">
        <v>1805</v>
      </c>
      <c r="R267" t="str">
        <f t="shared" si="72"/>
        <v>FredrickVKirst</v>
      </c>
      <c r="S267" t="str">
        <f t="shared" si="73"/>
        <v>hotmail.com</v>
      </c>
      <c r="T267" t="str">
        <f t="shared" si="74"/>
        <v>hotmail</v>
      </c>
      <c r="U267" t="str">
        <f t="shared" si="75"/>
        <v>FredrickVKirst</v>
      </c>
      <c r="V267" t="s">
        <v>1806</v>
      </c>
      <c r="W267" t="str">
        <f t="shared" si="76"/>
        <v>903-</v>
      </c>
      <c r="X267" t="str">
        <f t="shared" si="77"/>
        <v>330</v>
      </c>
      <c r="Y267" t="str">
        <f t="shared" si="78"/>
        <v>-0685</v>
      </c>
      <c r="Z267" t="str">
        <f>SUBSTITUTE(V267,"-","|",2)</f>
        <v>903-330|0685</v>
      </c>
      <c r="AA267" t="str">
        <f>LEFT(V267,3)</f>
        <v>903</v>
      </c>
      <c r="AB267" t="str">
        <f>MID(V267,5,3)</f>
        <v>330</v>
      </c>
      <c r="AC267" t="str">
        <f>RIGHT(V267,4)</f>
        <v>0685</v>
      </c>
      <c r="AD267" s="3" t="s">
        <v>1807</v>
      </c>
      <c r="AE267" s="3" t="str">
        <f t="shared" si="79"/>
        <v>1546</v>
      </c>
    </row>
    <row r="268" spans="1:31">
      <c r="A268" t="s">
        <v>1808</v>
      </c>
      <c r="B268" t="str">
        <f t="shared" si="65"/>
        <v>Randall</v>
      </c>
      <c r="C268" t="s">
        <v>67</v>
      </c>
      <c r="D268" t="s">
        <v>1809</v>
      </c>
      <c r="E268" t="str">
        <f t="shared" si="66"/>
        <v>Beaty</v>
      </c>
      <c r="F268" t="str">
        <f t="shared" si="67"/>
        <v>RANDALLBEATY</v>
      </c>
      <c r="G268" t="str">
        <f t="shared" si="68"/>
        <v>RANDALLBEATY</v>
      </c>
      <c r="H268" t="str">
        <f t="shared" si="69"/>
        <v>RAN BEATY</v>
      </c>
      <c r="I268" t="str">
        <f t="shared" si="70"/>
        <v>RAN.B</v>
      </c>
      <c r="J268" t="s">
        <v>42</v>
      </c>
      <c r="K268" t="s">
        <v>1810</v>
      </c>
      <c r="L268" t="s">
        <v>1811</v>
      </c>
      <c r="M268" t="s">
        <v>247</v>
      </c>
      <c r="N268">
        <v>30601</v>
      </c>
      <c r="O268" t="str">
        <f t="shared" si="71"/>
        <v>30601</v>
      </c>
      <c r="P268" t="str">
        <f t="shared" si="64"/>
        <v>860 Davis Street, Athens, GA, 30601</v>
      </c>
      <c r="Q268" t="s">
        <v>1812</v>
      </c>
      <c r="R268" t="str">
        <f t="shared" si="72"/>
        <v>RandallDBeaty</v>
      </c>
      <c r="S268" t="str">
        <f t="shared" si="73"/>
        <v>hotmail.com</v>
      </c>
      <c r="T268" t="str">
        <f t="shared" si="74"/>
        <v>hotmail</v>
      </c>
      <c r="U268" t="str">
        <f t="shared" si="75"/>
        <v>RandallDBeaty</v>
      </c>
      <c r="V268" t="s">
        <v>1813</v>
      </c>
      <c r="W268" t="str">
        <f t="shared" si="76"/>
        <v>706-</v>
      </c>
      <c r="X268" t="str">
        <f t="shared" si="77"/>
        <v>389</v>
      </c>
      <c r="Y268" t="str">
        <f t="shared" si="78"/>
        <v>-3066</v>
      </c>
      <c r="Z268" t="str">
        <f>SUBSTITUTE(V268,"-","|",2)</f>
        <v>706-389|3066</v>
      </c>
      <c r="AA268" t="str">
        <f>LEFT(V268,3)</f>
        <v>706</v>
      </c>
      <c r="AB268" t="str">
        <f>MID(V268,5,3)</f>
        <v>389</v>
      </c>
      <c r="AC268" t="str">
        <f>RIGHT(V268,4)</f>
        <v>3066</v>
      </c>
      <c r="AD268" s="3" t="s">
        <v>1814</v>
      </c>
      <c r="AE268" s="3" t="str">
        <f t="shared" si="79"/>
        <v>924</v>
      </c>
    </row>
    <row r="269" spans="1:31">
      <c r="A269" t="s">
        <v>875</v>
      </c>
      <c r="B269" t="str">
        <f t="shared" si="65"/>
        <v>Linda</v>
      </c>
      <c r="C269" t="s">
        <v>132</v>
      </c>
      <c r="D269" t="s">
        <v>1729</v>
      </c>
      <c r="E269" t="str">
        <f t="shared" si="66"/>
        <v>Hernandez</v>
      </c>
      <c r="F269" t="str">
        <f t="shared" si="67"/>
        <v>LINDAHERNANDEZ</v>
      </c>
      <c r="G269" t="str">
        <f t="shared" si="68"/>
        <v>LINDAHERNANDEZ</v>
      </c>
      <c r="H269" t="str">
        <f t="shared" si="69"/>
        <v>LIN HERNANDEZ</v>
      </c>
      <c r="I269" t="str">
        <f t="shared" si="70"/>
        <v>LIN.H</v>
      </c>
      <c r="J269" t="s">
        <v>32</v>
      </c>
      <c r="K269" t="s">
        <v>1815</v>
      </c>
      <c r="L269" t="s">
        <v>1816</v>
      </c>
      <c r="M269" t="s">
        <v>104</v>
      </c>
      <c r="N269">
        <v>14424</v>
      </c>
      <c r="O269" t="str">
        <f t="shared" si="71"/>
        <v>14424</v>
      </c>
      <c r="P269" t="str">
        <f t="shared" si="64"/>
        <v>2354 Walt Nuzum Farm Road, Canandaigua, NY, 14424</v>
      </c>
      <c r="Q269" t="s">
        <v>1817</v>
      </c>
      <c r="R269" t="str">
        <f t="shared" si="72"/>
        <v>LindaRHernandez</v>
      </c>
      <c r="S269" t="str">
        <f t="shared" si="73"/>
        <v>gmail.com</v>
      </c>
      <c r="T269" t="str">
        <f t="shared" si="74"/>
        <v>gmail</v>
      </c>
      <c r="U269" t="str">
        <f t="shared" si="75"/>
        <v>LindaRHernandez</v>
      </c>
      <c r="V269" t="s">
        <v>1818</v>
      </c>
      <c r="W269" t="str">
        <f t="shared" si="76"/>
        <v>585-</v>
      </c>
      <c r="X269" t="str">
        <f t="shared" si="77"/>
        <v>396</v>
      </c>
      <c r="Y269" t="str">
        <f t="shared" si="78"/>
        <v>-9512</v>
      </c>
      <c r="Z269" t="str">
        <f>SUBSTITUTE(V269,"-","|",2)</f>
        <v>585-396|9512</v>
      </c>
      <c r="AA269" t="str">
        <f>LEFT(V269,3)</f>
        <v>585</v>
      </c>
      <c r="AB269" t="str">
        <f>MID(V269,5,3)</f>
        <v>396</v>
      </c>
      <c r="AC269" t="str">
        <f>RIGHT(V269,4)</f>
        <v>9512</v>
      </c>
      <c r="AD269" s="3" t="s">
        <v>1819</v>
      </c>
      <c r="AE269" s="3" t="str">
        <f t="shared" si="79"/>
        <v>8968</v>
      </c>
    </row>
    <row r="270" spans="1:31">
      <c r="A270" t="s">
        <v>1820</v>
      </c>
      <c r="B270" t="str">
        <f t="shared" si="65"/>
        <v>Jerome</v>
      </c>
      <c r="C270" t="s">
        <v>343</v>
      </c>
      <c r="D270" t="s">
        <v>1821</v>
      </c>
      <c r="E270" t="str">
        <f t="shared" si="66"/>
        <v>Perry</v>
      </c>
      <c r="F270" t="str">
        <f t="shared" si="67"/>
        <v>JEROMEPERRY</v>
      </c>
      <c r="G270" t="str">
        <f t="shared" si="68"/>
        <v>JEROMEPERRY</v>
      </c>
      <c r="H270" t="str">
        <f t="shared" si="69"/>
        <v>JER PERRY</v>
      </c>
      <c r="I270" t="str">
        <f t="shared" si="70"/>
        <v>JER.P</v>
      </c>
      <c r="J270" t="s">
        <v>42</v>
      </c>
      <c r="K270" t="s">
        <v>1822</v>
      </c>
      <c r="L270" t="s">
        <v>1823</v>
      </c>
      <c r="M270" t="s">
        <v>538</v>
      </c>
      <c r="N270">
        <v>15904</v>
      </c>
      <c r="O270" t="str">
        <f t="shared" si="71"/>
        <v>15904</v>
      </c>
      <c r="P270" t="str">
        <f t="shared" si="64"/>
        <v>440 Harley Brook Lane, Johnstown, PA, 15904</v>
      </c>
      <c r="Q270" t="s">
        <v>1824</v>
      </c>
      <c r="R270" t="str">
        <f t="shared" si="72"/>
        <v>JeromeLPerry</v>
      </c>
      <c r="S270" t="str">
        <f t="shared" si="73"/>
        <v>hotmail.com</v>
      </c>
      <c r="T270" t="str">
        <f t="shared" si="74"/>
        <v>hotmail</v>
      </c>
      <c r="U270" t="str">
        <f t="shared" si="75"/>
        <v>JeromeLPerry</v>
      </c>
      <c r="V270" t="s">
        <v>1825</v>
      </c>
      <c r="W270" t="str">
        <f t="shared" si="76"/>
        <v>814-</v>
      </c>
      <c r="X270" t="str">
        <f t="shared" si="77"/>
        <v>599</v>
      </c>
      <c r="Y270" t="str">
        <f t="shared" si="78"/>
        <v>-6725</v>
      </c>
      <c r="Z270" t="str">
        <f>SUBSTITUTE(V270,"-","|",2)</f>
        <v>814-599|6725</v>
      </c>
      <c r="AA270" t="str">
        <f>LEFT(V270,3)</f>
        <v>814</v>
      </c>
      <c r="AB270" t="str">
        <f>MID(V270,5,3)</f>
        <v>599</v>
      </c>
      <c r="AC270" t="str">
        <f>RIGHT(V270,4)</f>
        <v>6725</v>
      </c>
      <c r="AD270" s="3" t="s">
        <v>1826</v>
      </c>
      <c r="AE270" s="3" t="str">
        <f t="shared" si="79"/>
        <v>719</v>
      </c>
    </row>
    <row r="271" spans="1:31">
      <c r="A271" t="s">
        <v>328</v>
      </c>
      <c r="B271" t="str">
        <f t="shared" si="65"/>
        <v>Richard</v>
      </c>
      <c r="C271" t="s">
        <v>58</v>
      </c>
      <c r="D271" t="s">
        <v>1827</v>
      </c>
      <c r="E271" t="str">
        <f t="shared" si="66"/>
        <v>Pittman</v>
      </c>
      <c r="F271" t="str">
        <f t="shared" si="67"/>
        <v>RICHARDPITTMAN</v>
      </c>
      <c r="G271" t="str">
        <f t="shared" si="68"/>
        <v>RICHARDPITTMAN</v>
      </c>
      <c r="H271" t="str">
        <f t="shared" si="69"/>
        <v>RIC PITTMAN</v>
      </c>
      <c r="I271" t="str">
        <f t="shared" si="70"/>
        <v>RIC.P</v>
      </c>
      <c r="J271" t="s">
        <v>42</v>
      </c>
      <c r="K271" t="s">
        <v>1828</v>
      </c>
      <c r="L271" t="s">
        <v>1829</v>
      </c>
      <c r="M271" t="s">
        <v>153</v>
      </c>
      <c r="N271">
        <v>54481</v>
      </c>
      <c r="O271" t="str">
        <f t="shared" si="71"/>
        <v>54481</v>
      </c>
      <c r="P271" t="str">
        <f t="shared" si="64"/>
        <v>3874 Tea Berry Lane, Stevens Point, WI, 54481</v>
      </c>
      <c r="Q271" t="s">
        <v>1830</v>
      </c>
      <c r="R271" t="str">
        <f t="shared" si="72"/>
        <v>RichardMPittman</v>
      </c>
      <c r="S271" t="str">
        <f t="shared" si="73"/>
        <v>aol.com</v>
      </c>
      <c r="T271" t="str">
        <f t="shared" si="74"/>
        <v>aol</v>
      </c>
      <c r="U271" t="str">
        <f t="shared" si="75"/>
        <v>RichardMPittman</v>
      </c>
      <c r="V271" t="s">
        <v>1831</v>
      </c>
      <c r="W271" t="str">
        <f t="shared" si="76"/>
        <v>715-</v>
      </c>
      <c r="X271" t="str">
        <f t="shared" si="77"/>
        <v>722</v>
      </c>
      <c r="Y271" t="str">
        <f t="shared" si="78"/>
        <v>-0751</v>
      </c>
      <c r="Z271" t="str">
        <f>SUBSTITUTE(V271,"-","|",2)</f>
        <v>715-722|0751</v>
      </c>
      <c r="AA271" t="str">
        <f>LEFT(V271,3)</f>
        <v>715</v>
      </c>
      <c r="AB271" t="str">
        <f>MID(V271,5,3)</f>
        <v>722</v>
      </c>
      <c r="AC271" t="str">
        <f>RIGHT(V271,4)</f>
        <v>0751</v>
      </c>
      <c r="AD271" s="3" t="s">
        <v>1832</v>
      </c>
      <c r="AE271" s="3" t="str">
        <f t="shared" si="79"/>
        <v>346</v>
      </c>
    </row>
    <row r="272" spans="1:31">
      <c r="A272" t="s">
        <v>1833</v>
      </c>
      <c r="B272" t="str">
        <f t="shared" si="65"/>
        <v>Helen</v>
      </c>
      <c r="C272" t="s">
        <v>67</v>
      </c>
      <c r="D272" t="s">
        <v>1834</v>
      </c>
      <c r="E272" t="str">
        <f t="shared" si="66"/>
        <v>Olson</v>
      </c>
      <c r="F272" t="str">
        <f t="shared" si="67"/>
        <v>HELENOLSON</v>
      </c>
      <c r="G272" t="str">
        <f t="shared" si="68"/>
        <v>HELENOLSON</v>
      </c>
      <c r="H272" t="str">
        <f t="shared" si="69"/>
        <v>HEL OLSON</v>
      </c>
      <c r="I272" t="str">
        <f t="shared" si="70"/>
        <v>HEL.O</v>
      </c>
      <c r="J272" t="s">
        <v>32</v>
      </c>
      <c r="K272" t="s">
        <v>1835</v>
      </c>
      <c r="L272" t="s">
        <v>1836</v>
      </c>
      <c r="M272" t="s">
        <v>104</v>
      </c>
      <c r="N272">
        <v>13057</v>
      </c>
      <c r="O272" t="str">
        <f t="shared" si="71"/>
        <v>13057</v>
      </c>
      <c r="P272" t="str">
        <f t="shared" si="64"/>
        <v>2493 Oak Street, East Syracuse, NY, 13057</v>
      </c>
      <c r="Q272" t="s">
        <v>1837</v>
      </c>
      <c r="R272" t="str">
        <f t="shared" si="72"/>
        <v>HelenDOlson</v>
      </c>
      <c r="S272" t="str">
        <f t="shared" si="73"/>
        <v>gmail.com</v>
      </c>
      <c r="T272" t="str">
        <f t="shared" si="74"/>
        <v>gmail</v>
      </c>
      <c r="U272" t="str">
        <f t="shared" si="75"/>
        <v>HelenDOlson</v>
      </c>
      <c r="V272" t="s">
        <v>1838</v>
      </c>
      <c r="W272" t="str">
        <f t="shared" si="76"/>
        <v>315-</v>
      </c>
      <c r="X272" t="str">
        <f t="shared" si="77"/>
        <v>405</v>
      </c>
      <c r="Y272" t="str">
        <f t="shared" si="78"/>
        <v>-8099</v>
      </c>
      <c r="Z272" t="str">
        <f>SUBSTITUTE(V272,"-","|",2)</f>
        <v>315-405|8099</v>
      </c>
      <c r="AA272" t="str">
        <f>LEFT(V272,3)</f>
        <v>315</v>
      </c>
      <c r="AB272" t="str">
        <f>MID(V272,5,3)</f>
        <v>405</v>
      </c>
      <c r="AC272" t="str">
        <f>RIGHT(V272,4)</f>
        <v>8099</v>
      </c>
      <c r="AD272" s="3" t="s">
        <v>1839</v>
      </c>
      <c r="AE272" s="3" t="str">
        <f t="shared" si="79"/>
        <v>7943</v>
      </c>
    </row>
    <row r="273" spans="1:31">
      <c r="A273" t="s">
        <v>1840</v>
      </c>
      <c r="B273" t="str">
        <f t="shared" si="65"/>
        <v>Ruth</v>
      </c>
      <c r="C273" t="s">
        <v>365</v>
      </c>
      <c r="D273" t="s">
        <v>1671</v>
      </c>
      <c r="E273" t="str">
        <f t="shared" si="66"/>
        <v>Ward</v>
      </c>
      <c r="F273" t="str">
        <f t="shared" si="67"/>
        <v>RUTHWARD</v>
      </c>
      <c r="G273" t="str">
        <f t="shared" si="68"/>
        <v>RUTHWARD</v>
      </c>
      <c r="H273" t="str">
        <f t="shared" si="69"/>
        <v>RUT WARD</v>
      </c>
      <c r="I273" t="str">
        <f t="shared" si="70"/>
        <v>RUT.W</v>
      </c>
      <c r="J273" t="s">
        <v>32</v>
      </c>
      <c r="K273" t="s">
        <v>1841</v>
      </c>
      <c r="L273" t="s">
        <v>1842</v>
      </c>
      <c r="M273" t="s">
        <v>88</v>
      </c>
      <c r="N273">
        <v>78550</v>
      </c>
      <c r="O273" t="str">
        <f t="shared" si="71"/>
        <v>78550</v>
      </c>
      <c r="P273" t="str">
        <f t="shared" si="64"/>
        <v>2706 Adamsville Road, Harlingen, TX, 78550</v>
      </c>
      <c r="Q273" t="s">
        <v>1843</v>
      </c>
      <c r="R273" t="str">
        <f t="shared" si="72"/>
        <v>RuthGWard</v>
      </c>
      <c r="S273" t="str">
        <f t="shared" si="73"/>
        <v>hotmail.com</v>
      </c>
      <c r="T273" t="str">
        <f t="shared" si="74"/>
        <v>hotmail</v>
      </c>
      <c r="U273" t="str">
        <f t="shared" si="75"/>
        <v>RuthGWard</v>
      </c>
      <c r="V273" t="s">
        <v>1844</v>
      </c>
      <c r="W273" t="str">
        <f t="shared" si="76"/>
        <v>956-</v>
      </c>
      <c r="X273" t="str">
        <f t="shared" si="77"/>
        <v>707</v>
      </c>
      <c r="Y273" t="str">
        <f t="shared" si="78"/>
        <v>-0282</v>
      </c>
      <c r="Z273" t="str">
        <f>SUBSTITUTE(V273,"-","|",2)</f>
        <v>956-707|0282</v>
      </c>
      <c r="AA273" t="str">
        <f>LEFT(V273,3)</f>
        <v>956</v>
      </c>
      <c r="AB273" t="str">
        <f>MID(V273,5,3)</f>
        <v>707</v>
      </c>
      <c r="AC273" t="str">
        <f>RIGHT(V273,4)</f>
        <v>0282</v>
      </c>
      <c r="AD273" s="3" t="s">
        <v>1845</v>
      </c>
      <c r="AE273" s="3" t="str">
        <f t="shared" si="79"/>
        <v>0003</v>
      </c>
    </row>
    <row r="274" spans="1:31">
      <c r="A274" t="s">
        <v>963</v>
      </c>
      <c r="B274" t="str">
        <f t="shared" si="65"/>
        <v>Gregory</v>
      </c>
      <c r="C274" t="s">
        <v>30</v>
      </c>
      <c r="D274" t="s">
        <v>1846</v>
      </c>
      <c r="E274" t="str">
        <f t="shared" si="66"/>
        <v>Read</v>
      </c>
      <c r="F274" t="str">
        <f t="shared" si="67"/>
        <v>GREGORYREAD</v>
      </c>
      <c r="G274" t="str">
        <f t="shared" si="68"/>
        <v>GREGORYREAD</v>
      </c>
      <c r="H274" t="str">
        <f t="shared" si="69"/>
        <v>GRE READ</v>
      </c>
      <c r="I274" t="str">
        <f t="shared" si="70"/>
        <v>GRE.R</v>
      </c>
      <c r="J274" t="s">
        <v>42</v>
      </c>
      <c r="K274" t="s">
        <v>1847</v>
      </c>
      <c r="L274" t="s">
        <v>127</v>
      </c>
      <c r="M274" t="s">
        <v>88</v>
      </c>
      <c r="N274">
        <v>75247</v>
      </c>
      <c r="O274" t="str">
        <f t="shared" si="71"/>
        <v>75247</v>
      </c>
      <c r="P274" t="str">
        <f t="shared" si="64"/>
        <v>208 Liberty Street, Dallas, TX, 75247</v>
      </c>
      <c r="Q274" t="s">
        <v>1848</v>
      </c>
      <c r="R274" t="str">
        <f t="shared" si="72"/>
        <v>GregoryJRead</v>
      </c>
      <c r="S274" t="str">
        <f t="shared" si="73"/>
        <v>hotmail.com</v>
      </c>
      <c r="T274" t="str">
        <f t="shared" si="74"/>
        <v>hotmail</v>
      </c>
      <c r="U274" t="str">
        <f t="shared" si="75"/>
        <v>GregoryJRead</v>
      </c>
      <c r="V274" t="s">
        <v>1849</v>
      </c>
      <c r="W274" t="str">
        <f t="shared" si="76"/>
        <v>214-</v>
      </c>
      <c r="X274" t="str">
        <f t="shared" si="77"/>
        <v>905</v>
      </c>
      <c r="Y274" t="str">
        <f t="shared" si="78"/>
        <v>-1653</v>
      </c>
      <c r="Z274" t="str">
        <f>SUBSTITUTE(V274,"-","|",2)</f>
        <v>214-905|1653</v>
      </c>
      <c r="AA274" t="str">
        <f>LEFT(V274,3)</f>
        <v>214</v>
      </c>
      <c r="AB274" t="str">
        <f>MID(V274,5,3)</f>
        <v>905</v>
      </c>
      <c r="AC274" t="str">
        <f>RIGHT(V274,4)</f>
        <v>1653</v>
      </c>
      <c r="AD274" s="3" t="s">
        <v>1850</v>
      </c>
      <c r="AE274" s="3" t="str">
        <f t="shared" si="79"/>
        <v>8565</v>
      </c>
    </row>
    <row r="275" spans="1:31">
      <c r="A275" t="s">
        <v>654</v>
      </c>
      <c r="B275" t="str">
        <f t="shared" si="65"/>
        <v>Michael</v>
      </c>
      <c r="C275" t="s">
        <v>58</v>
      </c>
      <c r="D275" t="s">
        <v>1851</v>
      </c>
      <c r="E275" t="str">
        <f t="shared" si="66"/>
        <v>Schiro</v>
      </c>
      <c r="F275" t="str">
        <f t="shared" si="67"/>
        <v>MICHAELSCHIRO</v>
      </c>
      <c r="G275" t="str">
        <f t="shared" si="68"/>
        <v>MICHAELSCHIRO</v>
      </c>
      <c r="H275" t="str">
        <f t="shared" si="69"/>
        <v>MIC SCHIRO</v>
      </c>
      <c r="I275" t="str">
        <f t="shared" si="70"/>
        <v>MIC.S</v>
      </c>
      <c r="J275" t="s">
        <v>42</v>
      </c>
      <c r="K275" t="s">
        <v>1852</v>
      </c>
      <c r="L275" t="s">
        <v>1853</v>
      </c>
      <c r="M275" t="s">
        <v>538</v>
      </c>
      <c r="N275">
        <v>19403</v>
      </c>
      <c r="O275" t="str">
        <f t="shared" si="71"/>
        <v>19403</v>
      </c>
      <c r="P275" t="str">
        <f t="shared" si="64"/>
        <v>2276 Clinton Street, Norristown, PA, 19403</v>
      </c>
      <c r="Q275" t="s">
        <v>1854</v>
      </c>
      <c r="R275" t="str">
        <f t="shared" si="72"/>
        <v>MichaelMSchiro</v>
      </c>
      <c r="S275" t="str">
        <f t="shared" si="73"/>
        <v>hotmail.com</v>
      </c>
      <c r="T275" t="str">
        <f t="shared" si="74"/>
        <v>hotmail</v>
      </c>
      <c r="U275" t="str">
        <f t="shared" si="75"/>
        <v>MichaelMSchiro</v>
      </c>
      <c r="V275" t="s">
        <v>1855</v>
      </c>
      <c r="W275" t="str">
        <f t="shared" si="76"/>
        <v>484-</v>
      </c>
      <c r="X275" t="str">
        <f t="shared" si="77"/>
        <v>979</v>
      </c>
      <c r="Y275" t="str">
        <f t="shared" si="78"/>
        <v>-2720</v>
      </c>
      <c r="Z275" t="str">
        <f>SUBSTITUTE(V275,"-","|",2)</f>
        <v>484-979|2720</v>
      </c>
      <c r="AA275" t="str">
        <f>LEFT(V275,3)</f>
        <v>484</v>
      </c>
      <c r="AB275" t="str">
        <f>MID(V275,5,3)</f>
        <v>979</v>
      </c>
      <c r="AC275" t="str">
        <f>RIGHT(V275,4)</f>
        <v>2720</v>
      </c>
      <c r="AD275" s="3" t="s">
        <v>1856</v>
      </c>
      <c r="AE275" s="3" t="str">
        <f t="shared" si="79"/>
        <v>7700</v>
      </c>
    </row>
    <row r="276" spans="1:31">
      <c r="A276" t="s">
        <v>1857</v>
      </c>
      <c r="B276" t="str">
        <f t="shared" si="65"/>
        <v>Fumiko</v>
      </c>
      <c r="C276" t="s">
        <v>213</v>
      </c>
      <c r="D276" t="s">
        <v>1858</v>
      </c>
      <c r="E276" t="str">
        <f t="shared" si="66"/>
        <v>Estep</v>
      </c>
      <c r="F276" t="str">
        <f t="shared" si="67"/>
        <v>FUMIKOESTEP</v>
      </c>
      <c r="G276" t="str">
        <f t="shared" si="68"/>
        <v>FUMIKOESTEP</v>
      </c>
      <c r="H276" t="str">
        <f t="shared" si="69"/>
        <v>FUM ESTEP</v>
      </c>
      <c r="I276" t="str">
        <f t="shared" si="70"/>
        <v>FUM.E</v>
      </c>
      <c r="J276" t="s">
        <v>32</v>
      </c>
      <c r="K276" t="s">
        <v>1859</v>
      </c>
      <c r="L276" t="s">
        <v>1860</v>
      </c>
      <c r="M276" t="s">
        <v>1632</v>
      </c>
      <c r="N276">
        <v>6770</v>
      </c>
      <c r="O276" t="str">
        <f t="shared" si="71"/>
        <v>06770</v>
      </c>
      <c r="P276" t="str">
        <f t="shared" si="64"/>
        <v>1121 Asylum Avenue, Naugatuck, CT, 6770</v>
      </c>
      <c r="Q276" t="s">
        <v>1861</v>
      </c>
      <c r="R276" t="str">
        <f t="shared" si="72"/>
        <v>FumikoAEstep</v>
      </c>
      <c r="S276" t="str">
        <f t="shared" si="73"/>
        <v>aol.com</v>
      </c>
      <c r="T276" t="str">
        <f t="shared" si="74"/>
        <v>aol</v>
      </c>
      <c r="U276" t="str">
        <f t="shared" si="75"/>
        <v>FumikoAEstep</v>
      </c>
      <c r="V276" t="s">
        <v>1862</v>
      </c>
      <c r="W276" t="str">
        <f t="shared" si="76"/>
        <v>203-</v>
      </c>
      <c r="X276" t="str">
        <f t="shared" si="77"/>
        <v>720</v>
      </c>
      <c r="Y276" t="str">
        <f t="shared" si="78"/>
        <v>-8403</v>
      </c>
      <c r="Z276" t="str">
        <f>SUBSTITUTE(V276,"-","|",2)</f>
        <v>203-720|8403</v>
      </c>
      <c r="AA276" t="str">
        <f>LEFT(V276,3)</f>
        <v>203</v>
      </c>
      <c r="AB276" t="str">
        <f>MID(V276,5,3)</f>
        <v>720</v>
      </c>
      <c r="AC276" t="str">
        <f>RIGHT(V276,4)</f>
        <v>8403</v>
      </c>
      <c r="AD276" s="3" t="s">
        <v>1863</v>
      </c>
      <c r="AE276" s="3" t="str">
        <f t="shared" si="79"/>
        <v>163</v>
      </c>
    </row>
    <row r="277" spans="1:31">
      <c r="A277" t="s">
        <v>654</v>
      </c>
      <c r="B277" t="str">
        <f t="shared" si="65"/>
        <v>Michael</v>
      </c>
      <c r="C277" t="s">
        <v>67</v>
      </c>
      <c r="D277" t="s">
        <v>1864</v>
      </c>
      <c r="E277" t="str">
        <f t="shared" si="66"/>
        <v>Pinney</v>
      </c>
      <c r="F277" t="str">
        <f t="shared" si="67"/>
        <v>MICHAELPINNEY</v>
      </c>
      <c r="G277" t="str">
        <f t="shared" si="68"/>
        <v>MICHAELPINNEY</v>
      </c>
      <c r="H277" t="str">
        <f t="shared" si="69"/>
        <v>MIC PINNEY</v>
      </c>
      <c r="I277" t="str">
        <f t="shared" si="70"/>
        <v>MIC.P</v>
      </c>
      <c r="J277" t="s">
        <v>42</v>
      </c>
      <c r="K277" t="s">
        <v>1865</v>
      </c>
      <c r="L277" t="s">
        <v>1866</v>
      </c>
      <c r="M277" t="s">
        <v>104</v>
      </c>
      <c r="N277">
        <v>11530</v>
      </c>
      <c r="O277" t="str">
        <f t="shared" si="71"/>
        <v>11530</v>
      </c>
      <c r="P277" t="str">
        <f t="shared" si="64"/>
        <v>3149 Stanley Avenue, Garden City, NY, 11530</v>
      </c>
      <c r="Q277" t="s">
        <v>1867</v>
      </c>
      <c r="R277" t="str">
        <f t="shared" si="72"/>
        <v>MichaelDPinney</v>
      </c>
      <c r="S277" t="str">
        <f t="shared" si="73"/>
        <v>aol.com</v>
      </c>
      <c r="T277" t="str">
        <f t="shared" si="74"/>
        <v>aol</v>
      </c>
      <c r="U277" t="str">
        <f t="shared" si="75"/>
        <v>MichaelDPinney</v>
      </c>
      <c r="V277" t="s">
        <v>1868</v>
      </c>
      <c r="W277" t="str">
        <f t="shared" si="76"/>
        <v>516-</v>
      </c>
      <c r="X277" t="str">
        <f t="shared" si="77"/>
        <v>534</v>
      </c>
      <c r="Y277" t="str">
        <f t="shared" si="78"/>
        <v>-2203</v>
      </c>
      <c r="Z277" t="str">
        <f>SUBSTITUTE(V277,"-","|",2)</f>
        <v>516-534|2203</v>
      </c>
      <c r="AA277" t="str">
        <f>LEFT(V277,3)</f>
        <v>516</v>
      </c>
      <c r="AB277" t="str">
        <f>MID(V277,5,3)</f>
        <v>534</v>
      </c>
      <c r="AC277" t="str">
        <f>RIGHT(V277,4)</f>
        <v>2203</v>
      </c>
      <c r="AD277" s="3" t="s">
        <v>1869</v>
      </c>
      <c r="AE277" s="3" t="str">
        <f t="shared" si="79"/>
        <v>7865</v>
      </c>
    </row>
    <row r="278" spans="1:31">
      <c r="A278" t="s">
        <v>1870</v>
      </c>
      <c r="B278" t="str">
        <f t="shared" si="65"/>
        <v>Jessica</v>
      </c>
      <c r="C278" t="s">
        <v>166</v>
      </c>
      <c r="D278" t="s">
        <v>1871</v>
      </c>
      <c r="E278" t="str">
        <f t="shared" si="66"/>
        <v>Chaudhry</v>
      </c>
      <c r="F278" t="str">
        <f t="shared" si="67"/>
        <v>JESSICACHAUDHRY</v>
      </c>
      <c r="G278" t="str">
        <f t="shared" si="68"/>
        <v>JESSICACHAUDHRY</v>
      </c>
      <c r="H278" t="str">
        <f t="shared" si="69"/>
        <v>JES CHAUDHRY</v>
      </c>
      <c r="I278" t="str">
        <f t="shared" si="70"/>
        <v>JES.C</v>
      </c>
      <c r="J278" t="s">
        <v>32</v>
      </c>
      <c r="K278" t="s">
        <v>1872</v>
      </c>
      <c r="L278" t="s">
        <v>1873</v>
      </c>
      <c r="M278" t="s">
        <v>53</v>
      </c>
      <c r="N278">
        <v>8070</v>
      </c>
      <c r="O278" t="str">
        <f t="shared" si="71"/>
        <v>08070</v>
      </c>
      <c r="P278" t="str">
        <f t="shared" si="64"/>
        <v>4111 Prospect Street, Pennsville, NJ, 8070</v>
      </c>
      <c r="Q278" t="s">
        <v>1874</v>
      </c>
      <c r="R278" t="str">
        <f t="shared" si="72"/>
        <v>JessicaBChaudhry</v>
      </c>
      <c r="S278" t="str">
        <f t="shared" si="73"/>
        <v>aol.com</v>
      </c>
      <c r="T278" t="str">
        <f t="shared" si="74"/>
        <v>aol</v>
      </c>
      <c r="U278" t="str">
        <f t="shared" si="75"/>
        <v>JessicaBChaudhry</v>
      </c>
      <c r="V278" t="s">
        <v>1875</v>
      </c>
      <c r="W278" t="str">
        <f t="shared" si="76"/>
        <v>856-</v>
      </c>
      <c r="X278" t="str">
        <f t="shared" si="77"/>
        <v>678</v>
      </c>
      <c r="Y278" t="str">
        <f t="shared" si="78"/>
        <v>-0016</v>
      </c>
      <c r="Z278" t="str">
        <f>SUBSTITUTE(V278,"-","|",2)</f>
        <v>856-678|0016</v>
      </c>
      <c r="AA278" t="str">
        <f>LEFT(V278,3)</f>
        <v>856</v>
      </c>
      <c r="AB278" t="str">
        <f>MID(V278,5,3)</f>
        <v>678</v>
      </c>
      <c r="AC278" t="str">
        <f>RIGHT(V278,4)</f>
        <v>0016</v>
      </c>
      <c r="AD278" s="3" t="s">
        <v>1876</v>
      </c>
      <c r="AE278" s="3" t="str">
        <f t="shared" si="79"/>
        <v>6869</v>
      </c>
    </row>
    <row r="279" spans="1:31">
      <c r="A279" t="s">
        <v>1877</v>
      </c>
      <c r="B279" t="str">
        <f t="shared" si="65"/>
        <v>Emilia</v>
      </c>
      <c r="C279" t="s">
        <v>84</v>
      </c>
      <c r="D279" t="s">
        <v>410</v>
      </c>
      <c r="E279" t="str">
        <f t="shared" si="66"/>
        <v>Brown</v>
      </c>
      <c r="F279" t="str">
        <f t="shared" si="67"/>
        <v>EMILIABROWN</v>
      </c>
      <c r="G279" t="str">
        <f t="shared" si="68"/>
        <v>EMILIABROWN</v>
      </c>
      <c r="H279" t="str">
        <f t="shared" si="69"/>
        <v>EMI BROWN</v>
      </c>
      <c r="I279" t="str">
        <f t="shared" si="70"/>
        <v>EMI.B</v>
      </c>
      <c r="J279" t="s">
        <v>32</v>
      </c>
      <c r="K279" t="s">
        <v>1878</v>
      </c>
      <c r="L279" t="s">
        <v>1879</v>
      </c>
      <c r="M279" t="s">
        <v>1020</v>
      </c>
      <c r="N279">
        <v>29536</v>
      </c>
      <c r="O279" t="str">
        <f t="shared" si="71"/>
        <v>29536</v>
      </c>
      <c r="P279" t="str">
        <f t="shared" si="64"/>
        <v>1962 Camden Place, Dillon, SC, 29536</v>
      </c>
      <c r="Q279" t="s">
        <v>1880</v>
      </c>
      <c r="R279" t="str">
        <f t="shared" si="72"/>
        <v>EmiliaKBrown</v>
      </c>
      <c r="S279" t="str">
        <f t="shared" si="73"/>
        <v>aol.com</v>
      </c>
      <c r="T279" t="str">
        <f t="shared" si="74"/>
        <v>aol</v>
      </c>
      <c r="U279" t="str">
        <f t="shared" si="75"/>
        <v>EmiliaKBrown</v>
      </c>
      <c r="V279" t="s">
        <v>1881</v>
      </c>
      <c r="W279" t="str">
        <f t="shared" si="76"/>
        <v>843-</v>
      </c>
      <c r="X279" t="str">
        <f t="shared" si="77"/>
        <v>841</v>
      </c>
      <c r="Y279" t="str">
        <f t="shared" si="78"/>
        <v>-0937</v>
      </c>
      <c r="Z279" t="str">
        <f>SUBSTITUTE(V279,"-","|",2)</f>
        <v>843-841|0937</v>
      </c>
      <c r="AA279" t="str">
        <f>LEFT(V279,3)</f>
        <v>843</v>
      </c>
      <c r="AB279" t="str">
        <f>MID(V279,5,3)</f>
        <v>841</v>
      </c>
      <c r="AC279" t="str">
        <f>RIGHT(V279,4)</f>
        <v>0937</v>
      </c>
      <c r="AD279" s="3" t="s">
        <v>1882</v>
      </c>
      <c r="AE279" s="3" t="str">
        <f t="shared" si="79"/>
        <v>7772</v>
      </c>
    </row>
    <row r="280" spans="1:31">
      <c r="A280" t="s">
        <v>842</v>
      </c>
      <c r="B280" t="str">
        <f t="shared" si="65"/>
        <v>Kenneth</v>
      </c>
      <c r="C280" t="s">
        <v>166</v>
      </c>
      <c r="D280" t="s">
        <v>1038</v>
      </c>
      <c r="E280" t="str">
        <f t="shared" si="66"/>
        <v>Hughes</v>
      </c>
      <c r="F280" t="str">
        <f t="shared" si="67"/>
        <v>KENNETHHUGHES</v>
      </c>
      <c r="G280" t="str">
        <f t="shared" si="68"/>
        <v>KENNETHHUGHES</v>
      </c>
      <c r="H280" t="str">
        <f t="shared" si="69"/>
        <v>KEN HUGHES</v>
      </c>
      <c r="I280" t="str">
        <f t="shared" si="70"/>
        <v>KEN.H</v>
      </c>
      <c r="J280" t="s">
        <v>42</v>
      </c>
      <c r="K280" t="s">
        <v>1883</v>
      </c>
      <c r="L280" t="s">
        <v>1884</v>
      </c>
      <c r="M280" t="s">
        <v>323</v>
      </c>
      <c r="N280">
        <v>51334</v>
      </c>
      <c r="O280" t="str">
        <f t="shared" si="71"/>
        <v>51334</v>
      </c>
      <c r="P280" t="str">
        <f t="shared" si="64"/>
        <v>1522 Pineview Drive, Estherville, MN, 51334</v>
      </c>
      <c r="Q280" t="s">
        <v>1885</v>
      </c>
      <c r="R280" t="str">
        <f t="shared" si="72"/>
        <v>KennethBHughes</v>
      </c>
      <c r="S280" t="str">
        <f t="shared" si="73"/>
        <v>hotmail.com</v>
      </c>
      <c r="T280" t="str">
        <f t="shared" si="74"/>
        <v>hotmail</v>
      </c>
      <c r="U280" t="str">
        <f t="shared" si="75"/>
        <v>KennethBHughes</v>
      </c>
      <c r="V280" t="s">
        <v>1886</v>
      </c>
      <c r="W280" t="str">
        <f t="shared" si="76"/>
        <v>507-</v>
      </c>
      <c r="X280" t="str">
        <f t="shared" si="77"/>
        <v>862</v>
      </c>
      <c r="Y280" t="str">
        <f t="shared" si="78"/>
        <v>-7634</v>
      </c>
      <c r="Z280" t="str">
        <f>SUBSTITUTE(V280,"-","|",2)</f>
        <v>507-862|7634</v>
      </c>
      <c r="AA280" t="str">
        <f>LEFT(V280,3)</f>
        <v>507</v>
      </c>
      <c r="AB280" t="str">
        <f>MID(V280,5,3)</f>
        <v>862</v>
      </c>
      <c r="AC280" t="str">
        <f>RIGHT(V280,4)</f>
        <v>7634</v>
      </c>
      <c r="AD280" s="3" t="s">
        <v>1887</v>
      </c>
      <c r="AE280" s="3" t="str">
        <f t="shared" si="79"/>
        <v>7037</v>
      </c>
    </row>
    <row r="281" spans="1:31">
      <c r="A281" t="s">
        <v>668</v>
      </c>
      <c r="B281" t="str">
        <f t="shared" si="65"/>
        <v>Janet</v>
      </c>
      <c r="C281" t="s">
        <v>166</v>
      </c>
      <c r="D281" t="s">
        <v>1888</v>
      </c>
      <c r="E281" t="str">
        <f t="shared" si="66"/>
        <v>Mccary</v>
      </c>
      <c r="F281" t="str">
        <f t="shared" si="67"/>
        <v>JANETMCCARY</v>
      </c>
      <c r="G281" t="str">
        <f t="shared" si="68"/>
        <v>JANETMCCARY</v>
      </c>
      <c r="H281" t="str">
        <f t="shared" si="69"/>
        <v>JAN MCCARY</v>
      </c>
      <c r="I281" t="str">
        <f t="shared" si="70"/>
        <v>JAN.M</v>
      </c>
      <c r="J281" t="s">
        <v>32</v>
      </c>
      <c r="K281" t="s">
        <v>1889</v>
      </c>
      <c r="L281" t="s">
        <v>730</v>
      </c>
      <c r="M281" t="s">
        <v>265</v>
      </c>
      <c r="N281">
        <v>1109</v>
      </c>
      <c r="O281" t="str">
        <f t="shared" si="71"/>
        <v>01109</v>
      </c>
      <c r="P281" t="str">
        <f t="shared" si="64"/>
        <v>1882 Hilltop Street, Springfield, MA, 1109</v>
      </c>
      <c r="Q281" t="s">
        <v>1890</v>
      </c>
      <c r="R281" t="str">
        <f t="shared" si="72"/>
        <v>JanetBMcCary</v>
      </c>
      <c r="S281" t="str">
        <f t="shared" si="73"/>
        <v>gmail.com</v>
      </c>
      <c r="T281" t="str">
        <f t="shared" si="74"/>
        <v>gmail</v>
      </c>
      <c r="U281" t="str">
        <f t="shared" si="75"/>
        <v>JanetBMcCary</v>
      </c>
      <c r="V281" t="s">
        <v>1891</v>
      </c>
      <c r="W281" t="str">
        <f t="shared" si="76"/>
        <v>413-</v>
      </c>
      <c r="X281" t="str">
        <f t="shared" si="77"/>
        <v>612</v>
      </c>
      <c r="Y281" t="str">
        <f t="shared" si="78"/>
        <v>-2907</v>
      </c>
      <c r="Z281" t="str">
        <f>SUBSTITUTE(V281,"-","|",2)</f>
        <v>413-612|2907</v>
      </c>
      <c r="AA281" t="str">
        <f>LEFT(V281,3)</f>
        <v>413</v>
      </c>
      <c r="AB281" t="str">
        <f>MID(V281,5,3)</f>
        <v>612</v>
      </c>
      <c r="AC281" t="str">
        <f>RIGHT(V281,4)</f>
        <v>2907</v>
      </c>
      <c r="AD281" s="3" t="s">
        <v>1892</v>
      </c>
      <c r="AE281" s="3" t="str">
        <f t="shared" si="79"/>
        <v>158</v>
      </c>
    </row>
    <row r="282" spans="1:31">
      <c r="A282" t="s">
        <v>714</v>
      </c>
      <c r="B282" t="str">
        <f t="shared" si="65"/>
        <v>Jason</v>
      </c>
      <c r="C282" t="s">
        <v>270</v>
      </c>
      <c r="D282" t="s">
        <v>1893</v>
      </c>
      <c r="E282" t="str">
        <f t="shared" si="66"/>
        <v>Almanza</v>
      </c>
      <c r="F282" t="str">
        <f t="shared" si="67"/>
        <v>JASONALMANZA</v>
      </c>
      <c r="G282" t="str">
        <f t="shared" si="68"/>
        <v>JASONALMANZA</v>
      </c>
      <c r="H282" t="str">
        <f t="shared" si="69"/>
        <v>JAS ALMANZA</v>
      </c>
      <c r="I282" t="str">
        <f t="shared" si="70"/>
        <v>JAS.A</v>
      </c>
      <c r="J282" t="s">
        <v>42</v>
      </c>
      <c r="K282" t="s">
        <v>1894</v>
      </c>
      <c r="L282" t="s">
        <v>1895</v>
      </c>
      <c r="M282" t="s">
        <v>45</v>
      </c>
      <c r="N282">
        <v>93010</v>
      </c>
      <c r="O282" t="str">
        <f t="shared" si="71"/>
        <v>93010</v>
      </c>
      <c r="P282" t="str">
        <f t="shared" si="64"/>
        <v>4594 Diane Street, Camarillo, CA, 93010</v>
      </c>
      <c r="Q282" t="s">
        <v>1896</v>
      </c>
      <c r="R282" t="str">
        <f t="shared" si="72"/>
        <v>JasonVAlmanza</v>
      </c>
      <c r="S282" t="str">
        <f t="shared" si="73"/>
        <v>aol.com</v>
      </c>
      <c r="T282" t="str">
        <f t="shared" si="74"/>
        <v>aol</v>
      </c>
      <c r="U282" t="str">
        <f t="shared" si="75"/>
        <v>JasonVAlmanza</v>
      </c>
      <c r="V282" t="s">
        <v>1897</v>
      </c>
      <c r="W282" t="str">
        <f t="shared" si="76"/>
        <v>805-</v>
      </c>
      <c r="X282" t="str">
        <f t="shared" si="77"/>
        <v>386</v>
      </c>
      <c r="Y282" t="str">
        <f t="shared" si="78"/>
        <v>-5275</v>
      </c>
      <c r="Z282" t="str">
        <f>SUBSTITUTE(V282,"-","|",2)</f>
        <v>805-386|5275</v>
      </c>
      <c r="AA282" t="str">
        <f>LEFT(V282,3)</f>
        <v>805</v>
      </c>
      <c r="AB282" t="str">
        <f>MID(V282,5,3)</f>
        <v>386</v>
      </c>
      <c r="AC282" t="str">
        <f>RIGHT(V282,4)</f>
        <v>5275</v>
      </c>
      <c r="AD282" s="3" t="s">
        <v>1898</v>
      </c>
      <c r="AE282" s="3" t="str">
        <f t="shared" si="79"/>
        <v>9558</v>
      </c>
    </row>
    <row r="283" spans="1:31">
      <c r="A283" t="s">
        <v>622</v>
      </c>
      <c r="B283" t="str">
        <f t="shared" si="65"/>
        <v>Antonio</v>
      </c>
      <c r="C283" t="s">
        <v>58</v>
      </c>
      <c r="D283" t="s">
        <v>1899</v>
      </c>
      <c r="E283" t="str">
        <f t="shared" si="66"/>
        <v>Peters</v>
      </c>
      <c r="F283" t="str">
        <f t="shared" si="67"/>
        <v>ANTONIOPETERS</v>
      </c>
      <c r="G283" t="str">
        <f t="shared" si="68"/>
        <v>ANTONIOPETERS</v>
      </c>
      <c r="H283" t="str">
        <f t="shared" si="69"/>
        <v>ANT PETERS</v>
      </c>
      <c r="I283" t="str">
        <f t="shared" si="70"/>
        <v>ANT.P</v>
      </c>
      <c r="J283" t="s">
        <v>42</v>
      </c>
      <c r="K283" t="s">
        <v>1900</v>
      </c>
      <c r="L283" t="s">
        <v>1901</v>
      </c>
      <c r="M283" t="s">
        <v>1020</v>
      </c>
      <c r="N283">
        <v>29591</v>
      </c>
      <c r="O283" t="str">
        <f t="shared" si="71"/>
        <v>29591</v>
      </c>
      <c r="P283" t="str">
        <f t="shared" si="64"/>
        <v>3778 Poe Road, Scranton, SC, 29591</v>
      </c>
      <c r="Q283" t="s">
        <v>1902</v>
      </c>
      <c r="R283" t="str">
        <f t="shared" si="72"/>
        <v>AntonioMPeters</v>
      </c>
      <c r="S283" t="str">
        <f t="shared" si="73"/>
        <v>aol.com</v>
      </c>
      <c r="T283" t="str">
        <f t="shared" si="74"/>
        <v>aol</v>
      </c>
      <c r="U283" t="str">
        <f t="shared" si="75"/>
        <v>AntonioMPeters</v>
      </c>
      <c r="V283" t="s">
        <v>1903</v>
      </c>
      <c r="W283" t="str">
        <f t="shared" si="76"/>
        <v>843-</v>
      </c>
      <c r="X283" t="str">
        <f t="shared" si="77"/>
        <v>210</v>
      </c>
      <c r="Y283" t="str">
        <f t="shared" si="78"/>
        <v>-7921</v>
      </c>
      <c r="Z283" t="str">
        <f>SUBSTITUTE(V283,"-","|",2)</f>
        <v>843-210|7921</v>
      </c>
      <c r="AA283" t="str">
        <f>LEFT(V283,3)</f>
        <v>843</v>
      </c>
      <c r="AB283" t="str">
        <f>MID(V283,5,3)</f>
        <v>210</v>
      </c>
      <c r="AC283" t="str">
        <f>RIGHT(V283,4)</f>
        <v>7921</v>
      </c>
      <c r="AD283" s="3" t="s">
        <v>1904</v>
      </c>
      <c r="AE283" s="3" t="str">
        <f t="shared" si="79"/>
        <v>1008</v>
      </c>
    </row>
    <row r="284" spans="1:31">
      <c r="A284" t="s">
        <v>1350</v>
      </c>
      <c r="B284" t="str">
        <f t="shared" si="65"/>
        <v>Joan</v>
      </c>
      <c r="C284" t="s">
        <v>166</v>
      </c>
      <c r="D284" t="s">
        <v>1905</v>
      </c>
      <c r="E284" t="str">
        <f t="shared" si="66"/>
        <v>Tripp</v>
      </c>
      <c r="F284" t="str">
        <f t="shared" si="67"/>
        <v>JOANTRIPP</v>
      </c>
      <c r="G284" t="str">
        <f t="shared" si="68"/>
        <v>JOANTRIPP</v>
      </c>
      <c r="H284" t="str">
        <f t="shared" si="69"/>
        <v>JOA TRIPP</v>
      </c>
      <c r="I284" t="str">
        <f t="shared" si="70"/>
        <v>JOA.T</v>
      </c>
      <c r="J284" t="s">
        <v>32</v>
      </c>
      <c r="K284" t="s">
        <v>1906</v>
      </c>
      <c r="L284" t="s">
        <v>1907</v>
      </c>
      <c r="M284" t="s">
        <v>413</v>
      </c>
      <c r="N284">
        <v>21122</v>
      </c>
      <c r="O284" t="str">
        <f t="shared" si="71"/>
        <v>21122</v>
      </c>
      <c r="P284" t="str">
        <f t="shared" si="64"/>
        <v>1719 Green Gate Lane, Armiger, MD, 21122</v>
      </c>
      <c r="Q284" t="s">
        <v>1908</v>
      </c>
      <c r="R284" t="str">
        <f t="shared" si="72"/>
        <v>JoanBTripp</v>
      </c>
      <c r="S284" t="str">
        <f t="shared" si="73"/>
        <v>aol.com</v>
      </c>
      <c r="T284" t="str">
        <f t="shared" si="74"/>
        <v>aol</v>
      </c>
      <c r="U284" t="str">
        <f t="shared" si="75"/>
        <v>JoanBTripp</v>
      </c>
      <c r="V284" t="s">
        <v>1909</v>
      </c>
      <c r="W284" t="str">
        <f t="shared" si="76"/>
        <v>443-</v>
      </c>
      <c r="X284" t="str">
        <f t="shared" si="77"/>
        <v>770</v>
      </c>
      <c r="Y284" t="str">
        <f t="shared" si="78"/>
        <v>-5360</v>
      </c>
      <c r="Z284" t="str">
        <f>SUBSTITUTE(V284,"-","|",2)</f>
        <v>443-770|5360</v>
      </c>
      <c r="AA284" t="str">
        <f>LEFT(V284,3)</f>
        <v>443</v>
      </c>
      <c r="AB284" t="str">
        <f>MID(V284,5,3)</f>
        <v>770</v>
      </c>
      <c r="AC284" t="str">
        <f>RIGHT(V284,4)</f>
        <v>5360</v>
      </c>
      <c r="AD284" s="3" t="s">
        <v>1910</v>
      </c>
      <c r="AE284" s="3" t="str">
        <f t="shared" si="79"/>
        <v>959</v>
      </c>
    </row>
    <row r="285" spans="1:31">
      <c r="A285" t="s">
        <v>66</v>
      </c>
      <c r="B285" t="str">
        <f t="shared" si="65"/>
        <v>John</v>
      </c>
      <c r="C285" t="s">
        <v>58</v>
      </c>
      <c r="D285" t="s">
        <v>1911</v>
      </c>
      <c r="E285" t="str">
        <f t="shared" si="66"/>
        <v>Bradley</v>
      </c>
      <c r="F285" t="str">
        <f t="shared" si="67"/>
        <v>JOHNBRADLEY</v>
      </c>
      <c r="G285" t="str">
        <f t="shared" si="68"/>
        <v>JOHNBRADLEY</v>
      </c>
      <c r="H285" t="str">
        <f t="shared" si="69"/>
        <v>JOH BRADLEY</v>
      </c>
      <c r="I285" t="str">
        <f t="shared" si="70"/>
        <v>JOH.B</v>
      </c>
      <c r="J285" t="s">
        <v>42</v>
      </c>
      <c r="K285" t="s">
        <v>1912</v>
      </c>
      <c r="L285" t="s">
        <v>1157</v>
      </c>
      <c r="M285" t="s">
        <v>104</v>
      </c>
      <c r="N285">
        <v>10022</v>
      </c>
      <c r="O285" t="str">
        <f t="shared" si="71"/>
        <v>10022</v>
      </c>
      <c r="P285" t="str">
        <f t="shared" si="64"/>
        <v>1779 Rosewood Lane, New York, NY, 10022</v>
      </c>
      <c r="Q285" t="s">
        <v>1913</v>
      </c>
      <c r="R285" t="str">
        <f t="shared" si="72"/>
        <v>JohnMBradley</v>
      </c>
      <c r="S285" t="str">
        <f t="shared" si="73"/>
        <v>hotmail.com</v>
      </c>
      <c r="T285" t="str">
        <f t="shared" si="74"/>
        <v>hotmail</v>
      </c>
      <c r="U285" t="str">
        <f t="shared" si="75"/>
        <v>JohnMBradley</v>
      </c>
      <c r="V285" t="s">
        <v>1914</v>
      </c>
      <c r="W285" t="str">
        <f t="shared" si="76"/>
        <v>212-</v>
      </c>
      <c r="X285" t="str">
        <f t="shared" si="77"/>
        <v>906</v>
      </c>
      <c r="Y285" t="str">
        <f t="shared" si="78"/>
        <v>-5369</v>
      </c>
      <c r="Z285" t="str">
        <f>SUBSTITUTE(V285,"-","|",2)</f>
        <v>212-906|5369</v>
      </c>
      <c r="AA285" t="str">
        <f>LEFT(V285,3)</f>
        <v>212</v>
      </c>
      <c r="AB285" t="str">
        <f>MID(V285,5,3)</f>
        <v>906</v>
      </c>
      <c r="AC285" t="str">
        <f>RIGHT(V285,4)</f>
        <v>5369</v>
      </c>
      <c r="AD285" s="3" t="s">
        <v>1915</v>
      </c>
      <c r="AE285" s="3" t="str">
        <f t="shared" si="79"/>
        <v>5085</v>
      </c>
    </row>
    <row r="286" spans="1:31">
      <c r="A286" t="s">
        <v>212</v>
      </c>
      <c r="B286" t="str">
        <f t="shared" si="65"/>
        <v>Laura</v>
      </c>
      <c r="C286" t="s">
        <v>67</v>
      </c>
      <c r="D286" t="s">
        <v>1916</v>
      </c>
      <c r="E286" t="str">
        <f t="shared" si="66"/>
        <v>Medlin</v>
      </c>
      <c r="F286" t="str">
        <f t="shared" si="67"/>
        <v>LAURAMEDLIN</v>
      </c>
      <c r="G286" t="str">
        <f t="shared" si="68"/>
        <v>LAURAMEDLIN</v>
      </c>
      <c r="H286" t="str">
        <f t="shared" si="69"/>
        <v>LAU MEDLIN</v>
      </c>
      <c r="I286" t="str">
        <f t="shared" si="70"/>
        <v>LAU.M</v>
      </c>
      <c r="J286" t="s">
        <v>32</v>
      </c>
      <c r="K286" t="s">
        <v>1917</v>
      </c>
      <c r="L286" t="s">
        <v>135</v>
      </c>
      <c r="M286" t="s">
        <v>136</v>
      </c>
      <c r="N286">
        <v>2905</v>
      </c>
      <c r="O286" t="str">
        <f t="shared" si="71"/>
        <v>02905</v>
      </c>
      <c r="P286" t="str">
        <f t="shared" si="64"/>
        <v>1772 Myra Street, Providence, RI, 2905</v>
      </c>
      <c r="Q286" t="s">
        <v>1918</v>
      </c>
      <c r="R286" t="str">
        <f t="shared" si="72"/>
        <v>LauraDMedlin</v>
      </c>
      <c r="S286" t="str">
        <f t="shared" si="73"/>
        <v>gmail.com</v>
      </c>
      <c r="T286" t="str">
        <f t="shared" si="74"/>
        <v>gmail</v>
      </c>
      <c r="U286" t="str">
        <f t="shared" si="75"/>
        <v>LauraDMedlin</v>
      </c>
      <c r="V286" t="s">
        <v>1919</v>
      </c>
      <c r="W286" t="str">
        <f t="shared" si="76"/>
        <v>401-</v>
      </c>
      <c r="X286" t="str">
        <f t="shared" si="77"/>
        <v>456</v>
      </c>
      <c r="Y286" t="str">
        <f t="shared" si="78"/>
        <v>-4014</v>
      </c>
      <c r="Z286" t="str">
        <f>SUBSTITUTE(V286,"-","|",2)</f>
        <v>401-456|4014</v>
      </c>
      <c r="AA286" t="str">
        <f>LEFT(V286,3)</f>
        <v>401</v>
      </c>
      <c r="AB286" t="str">
        <f>MID(V286,5,3)</f>
        <v>456</v>
      </c>
      <c r="AC286" t="str">
        <f>RIGHT(V286,4)</f>
        <v>4014</v>
      </c>
      <c r="AD286" s="3" t="s">
        <v>1920</v>
      </c>
      <c r="AE286" s="3" t="str">
        <f t="shared" si="79"/>
        <v>6105</v>
      </c>
    </row>
    <row r="287" spans="1:31">
      <c r="A287" t="s">
        <v>1921</v>
      </c>
      <c r="B287" t="str">
        <f t="shared" si="65"/>
        <v>Iola</v>
      </c>
      <c r="C287" t="s">
        <v>141</v>
      </c>
      <c r="D287" t="s">
        <v>1922</v>
      </c>
      <c r="E287" t="str">
        <f t="shared" si="66"/>
        <v>Deckard</v>
      </c>
      <c r="F287" t="str">
        <f t="shared" si="67"/>
        <v>IOLADECKARD</v>
      </c>
      <c r="G287" t="str">
        <f t="shared" si="68"/>
        <v>IOLADECKARD</v>
      </c>
      <c r="H287" t="str">
        <f t="shared" si="69"/>
        <v>IOL DECKARD</v>
      </c>
      <c r="I287" t="str">
        <f t="shared" si="70"/>
        <v>IOL.D</v>
      </c>
      <c r="J287" t="s">
        <v>32</v>
      </c>
      <c r="K287" t="s">
        <v>1923</v>
      </c>
      <c r="L287" t="s">
        <v>1321</v>
      </c>
      <c r="M287" t="s">
        <v>45</v>
      </c>
      <c r="N287">
        <v>91302</v>
      </c>
      <c r="O287" t="str">
        <f t="shared" si="71"/>
        <v>91302</v>
      </c>
      <c r="P287" t="str">
        <f t="shared" si="64"/>
        <v>498 New York Avenue, Calabasas, CA, 91302</v>
      </c>
      <c r="Q287" t="s">
        <v>1924</v>
      </c>
      <c r="R287" t="str">
        <f t="shared" si="72"/>
        <v>IolaEDeckard</v>
      </c>
      <c r="S287" t="str">
        <f t="shared" si="73"/>
        <v>gmail.com</v>
      </c>
      <c r="T287" t="str">
        <f t="shared" si="74"/>
        <v>gmail</v>
      </c>
      <c r="U287" t="str">
        <f t="shared" si="75"/>
        <v>IolaEDeckard</v>
      </c>
      <c r="V287" t="s">
        <v>1925</v>
      </c>
      <c r="W287" t="str">
        <f t="shared" si="76"/>
        <v>818-</v>
      </c>
      <c r="X287" t="str">
        <f t="shared" si="77"/>
        <v>224</v>
      </c>
      <c r="Y287" t="str">
        <f t="shared" si="78"/>
        <v>-9755</v>
      </c>
      <c r="Z287" t="str">
        <f>SUBSTITUTE(V287,"-","|",2)</f>
        <v>818-224|9755</v>
      </c>
      <c r="AA287" t="str">
        <f>LEFT(V287,3)</f>
        <v>818</v>
      </c>
      <c r="AB287" t="str">
        <f>MID(V287,5,3)</f>
        <v>224</v>
      </c>
      <c r="AC287" t="str">
        <f>RIGHT(V287,4)</f>
        <v>9755</v>
      </c>
      <c r="AD287" s="3" t="s">
        <v>1926</v>
      </c>
      <c r="AE287" s="3" t="str">
        <f t="shared" si="79"/>
        <v>1907</v>
      </c>
    </row>
    <row r="288" spans="1:31">
      <c r="A288" t="s">
        <v>1927</v>
      </c>
      <c r="B288" t="str">
        <f t="shared" si="65"/>
        <v>Charlene</v>
      </c>
      <c r="C288" t="s">
        <v>30</v>
      </c>
      <c r="D288" t="s">
        <v>1928</v>
      </c>
      <c r="E288" t="str">
        <f t="shared" si="66"/>
        <v>Berlanga</v>
      </c>
      <c r="F288" t="str">
        <f t="shared" si="67"/>
        <v>CHARLENEBERLANGA</v>
      </c>
      <c r="G288" t="str">
        <f t="shared" si="68"/>
        <v>CHARLENEBERLANGA</v>
      </c>
      <c r="H288" t="str">
        <f t="shared" si="69"/>
        <v>CHA BERLANGA</v>
      </c>
      <c r="I288" t="str">
        <f t="shared" si="70"/>
        <v>CHA.B</v>
      </c>
      <c r="J288" t="s">
        <v>32</v>
      </c>
      <c r="K288" t="s">
        <v>1929</v>
      </c>
      <c r="L288" t="s">
        <v>1930</v>
      </c>
      <c r="M288" t="s">
        <v>413</v>
      </c>
      <c r="N288">
        <v>21911</v>
      </c>
      <c r="O288" t="str">
        <f t="shared" si="71"/>
        <v>21911</v>
      </c>
      <c r="P288" t="str">
        <f t="shared" si="64"/>
        <v>4602 Marshall Street, Rising Sun, MD, 21911</v>
      </c>
      <c r="Q288" t="s">
        <v>1931</v>
      </c>
      <c r="R288" t="str">
        <f t="shared" si="72"/>
        <v>CharleneJBerlanga</v>
      </c>
      <c r="S288" t="str">
        <f t="shared" si="73"/>
        <v>aol.com</v>
      </c>
      <c r="T288" t="str">
        <f t="shared" si="74"/>
        <v>aol</v>
      </c>
      <c r="U288" t="str">
        <f t="shared" si="75"/>
        <v>CharleneJBerlanga</v>
      </c>
      <c r="V288" t="s">
        <v>1932</v>
      </c>
      <c r="W288" t="str">
        <f t="shared" si="76"/>
        <v>410-</v>
      </c>
      <c r="X288" t="str">
        <f t="shared" si="77"/>
        <v>658</v>
      </c>
      <c r="Y288" t="str">
        <f t="shared" si="78"/>
        <v>-2837</v>
      </c>
      <c r="Z288" t="str">
        <f>SUBSTITUTE(V288,"-","|",2)</f>
        <v>410-658|2837</v>
      </c>
      <c r="AA288" t="str">
        <f>LEFT(V288,3)</f>
        <v>410</v>
      </c>
      <c r="AB288" t="str">
        <f>MID(V288,5,3)</f>
        <v>658</v>
      </c>
      <c r="AC288" t="str">
        <f>RIGHT(V288,4)</f>
        <v>2837</v>
      </c>
      <c r="AD288" s="3" t="s">
        <v>1933</v>
      </c>
      <c r="AE288" s="3" t="str">
        <f t="shared" si="79"/>
        <v>2892</v>
      </c>
    </row>
    <row r="289" spans="1:31">
      <c r="A289" t="s">
        <v>1934</v>
      </c>
      <c r="B289" t="str">
        <f t="shared" si="65"/>
        <v>Maxine</v>
      </c>
      <c r="C289" t="s">
        <v>30</v>
      </c>
      <c r="D289" t="s">
        <v>1746</v>
      </c>
      <c r="E289" t="str">
        <f t="shared" si="66"/>
        <v>Thomas</v>
      </c>
      <c r="F289" t="str">
        <f t="shared" si="67"/>
        <v>MAXINETHOMAS</v>
      </c>
      <c r="G289" t="str">
        <f t="shared" si="68"/>
        <v>MAXINETHOMAS</v>
      </c>
      <c r="H289" t="str">
        <f t="shared" si="69"/>
        <v>MAX THOMAS</v>
      </c>
      <c r="I289" t="str">
        <f t="shared" si="70"/>
        <v>MAX.T</v>
      </c>
      <c r="J289" t="s">
        <v>32</v>
      </c>
      <c r="K289" t="s">
        <v>1935</v>
      </c>
      <c r="L289" t="s">
        <v>1936</v>
      </c>
      <c r="M289" t="s">
        <v>45</v>
      </c>
      <c r="N289">
        <v>95134</v>
      </c>
      <c r="O289" t="str">
        <f t="shared" si="71"/>
        <v>95134</v>
      </c>
      <c r="P289" t="str">
        <f t="shared" si="64"/>
        <v>4183 Park Street, San Jose, CA, 95134</v>
      </c>
      <c r="Q289" t="s">
        <v>1937</v>
      </c>
      <c r="R289" t="str">
        <f t="shared" si="72"/>
        <v>MaxineJThomas</v>
      </c>
      <c r="S289" t="str">
        <f t="shared" si="73"/>
        <v>gmail.com</v>
      </c>
      <c r="T289" t="str">
        <f t="shared" si="74"/>
        <v>gmail</v>
      </c>
      <c r="U289" t="str">
        <f t="shared" si="75"/>
        <v>MaxineJThomas</v>
      </c>
      <c r="V289" t="s">
        <v>1938</v>
      </c>
      <c r="W289" t="str">
        <f t="shared" si="76"/>
        <v>925-</v>
      </c>
      <c r="X289" t="str">
        <f t="shared" si="77"/>
        <v>498</v>
      </c>
      <c r="Y289" t="str">
        <f t="shared" si="78"/>
        <v>-1439</v>
      </c>
      <c r="Z289" t="str">
        <f>SUBSTITUTE(V289,"-","|",2)</f>
        <v>925-498|1439</v>
      </c>
      <c r="AA289" t="str">
        <f>LEFT(V289,3)</f>
        <v>925</v>
      </c>
      <c r="AB289" t="str">
        <f>MID(V289,5,3)</f>
        <v>498</v>
      </c>
      <c r="AC289" t="str">
        <f>RIGHT(V289,4)</f>
        <v>1439</v>
      </c>
      <c r="AD289" s="3" t="s">
        <v>1939</v>
      </c>
      <c r="AE289" s="3" t="str">
        <f t="shared" si="79"/>
        <v>984</v>
      </c>
    </row>
    <row r="290" spans="1:31">
      <c r="A290" t="s">
        <v>358</v>
      </c>
      <c r="B290" t="str">
        <f t="shared" si="65"/>
        <v>Jennifer</v>
      </c>
      <c r="C290" t="s">
        <v>343</v>
      </c>
      <c r="D290" t="s">
        <v>1940</v>
      </c>
      <c r="E290" t="str">
        <f t="shared" si="66"/>
        <v>Collier</v>
      </c>
      <c r="F290" t="str">
        <f t="shared" si="67"/>
        <v>JENNIFERCOLLIER</v>
      </c>
      <c r="G290" t="str">
        <f t="shared" si="68"/>
        <v>JENNIFERCOLLIER</v>
      </c>
      <c r="H290" t="str">
        <f t="shared" si="69"/>
        <v>JEN COLLIER</v>
      </c>
      <c r="I290" t="str">
        <f t="shared" si="70"/>
        <v>JEN.C</v>
      </c>
      <c r="J290" t="s">
        <v>32</v>
      </c>
      <c r="K290" t="s">
        <v>1941</v>
      </c>
      <c r="L290" t="s">
        <v>1942</v>
      </c>
      <c r="M290" t="s">
        <v>441</v>
      </c>
      <c r="N290">
        <v>80501</v>
      </c>
      <c r="O290" t="str">
        <f t="shared" si="71"/>
        <v>80501</v>
      </c>
      <c r="P290" t="str">
        <f t="shared" si="64"/>
        <v>1312 Scheuvront Drive, Longmont, CO, 80501</v>
      </c>
      <c r="Q290" t="s">
        <v>1943</v>
      </c>
      <c r="R290" t="str">
        <f t="shared" si="72"/>
        <v>JenniferLCollier</v>
      </c>
      <c r="S290" t="str">
        <f t="shared" si="73"/>
        <v>gmail.com</v>
      </c>
      <c r="T290" t="str">
        <f t="shared" si="74"/>
        <v>gmail</v>
      </c>
      <c r="U290" t="str">
        <f t="shared" si="75"/>
        <v>JenniferLCollier</v>
      </c>
      <c r="V290" t="s">
        <v>1944</v>
      </c>
      <c r="W290" t="str">
        <f t="shared" si="76"/>
        <v>303-</v>
      </c>
      <c r="X290" t="str">
        <f t="shared" si="77"/>
        <v>485</v>
      </c>
      <c r="Y290" t="str">
        <f t="shared" si="78"/>
        <v>-3220</v>
      </c>
      <c r="Z290" t="str">
        <f>SUBSTITUTE(V290,"-","|",2)</f>
        <v>303-485|3220</v>
      </c>
      <c r="AA290" t="str">
        <f>LEFT(V290,3)</f>
        <v>303</v>
      </c>
      <c r="AB290" t="str">
        <f>MID(V290,5,3)</f>
        <v>485</v>
      </c>
      <c r="AC290" t="str">
        <f>RIGHT(V290,4)</f>
        <v>3220</v>
      </c>
      <c r="AD290" s="3" t="s">
        <v>1945</v>
      </c>
      <c r="AE290" s="3" t="str">
        <f t="shared" si="79"/>
        <v>1561</v>
      </c>
    </row>
    <row r="291" spans="1:31">
      <c r="A291" t="s">
        <v>1946</v>
      </c>
      <c r="B291" t="str">
        <f t="shared" si="65"/>
        <v>Harold</v>
      </c>
      <c r="C291" t="s">
        <v>67</v>
      </c>
      <c r="D291" t="s">
        <v>1947</v>
      </c>
      <c r="E291" t="str">
        <f t="shared" si="66"/>
        <v>Shiflett</v>
      </c>
      <c r="F291" t="str">
        <f t="shared" si="67"/>
        <v>HAROLDSHIFLETT</v>
      </c>
      <c r="G291" t="str">
        <f t="shared" si="68"/>
        <v>HAROLDSHIFLETT</v>
      </c>
      <c r="H291" t="str">
        <f t="shared" si="69"/>
        <v>HAR SHIFLETT</v>
      </c>
      <c r="I291" t="str">
        <f t="shared" si="70"/>
        <v>HAR.S</v>
      </c>
      <c r="J291" t="s">
        <v>42</v>
      </c>
      <c r="K291" t="s">
        <v>1948</v>
      </c>
      <c r="L291" t="s">
        <v>1949</v>
      </c>
      <c r="M291" t="s">
        <v>45</v>
      </c>
      <c r="N291">
        <v>58147</v>
      </c>
      <c r="O291" t="str">
        <f t="shared" si="71"/>
        <v>58147</v>
      </c>
      <c r="P291" t="str">
        <f t="shared" si="64"/>
        <v>3289 Woodland Terrace, Sacramento, CA, 58147</v>
      </c>
      <c r="Q291" t="s">
        <v>1950</v>
      </c>
      <c r="R291" t="str">
        <f t="shared" si="72"/>
        <v>HaroldDShiflett</v>
      </c>
      <c r="S291" t="str">
        <f t="shared" si="73"/>
        <v>aol.com</v>
      </c>
      <c r="T291" t="str">
        <f t="shared" si="74"/>
        <v>aol</v>
      </c>
      <c r="U291" t="str">
        <f t="shared" si="75"/>
        <v>HaroldDShiflett</v>
      </c>
      <c r="V291" t="s">
        <v>1951</v>
      </c>
      <c r="W291" t="str">
        <f t="shared" si="76"/>
        <v>916-</v>
      </c>
      <c r="X291" t="str">
        <f t="shared" si="77"/>
        <v>915</v>
      </c>
      <c r="Y291" t="str">
        <f t="shared" si="78"/>
        <v>-4042</v>
      </c>
      <c r="Z291" t="str">
        <f>SUBSTITUTE(V291,"-","|",2)</f>
        <v>916-915|4042</v>
      </c>
      <c r="AA291" t="str">
        <f>LEFT(V291,3)</f>
        <v>916</v>
      </c>
      <c r="AB291" t="str">
        <f>MID(V291,5,3)</f>
        <v>915</v>
      </c>
      <c r="AC291" t="str">
        <f>RIGHT(V291,4)</f>
        <v>4042</v>
      </c>
      <c r="AD291" s="3" t="s">
        <v>1952</v>
      </c>
      <c r="AE291" s="3" t="str">
        <f t="shared" si="79"/>
        <v>4862</v>
      </c>
    </row>
    <row r="292" spans="1:31">
      <c r="A292" t="s">
        <v>379</v>
      </c>
      <c r="B292" t="str">
        <f t="shared" si="65"/>
        <v>Melissa</v>
      </c>
      <c r="C292" t="s">
        <v>781</v>
      </c>
      <c r="D292" t="s">
        <v>1953</v>
      </c>
      <c r="E292" t="str">
        <f t="shared" si="66"/>
        <v>Santibanez</v>
      </c>
      <c r="F292" t="str">
        <f t="shared" si="67"/>
        <v>MELISSASANTIBANEZ</v>
      </c>
      <c r="G292" t="str">
        <f t="shared" si="68"/>
        <v>MELISSASANTIBANEZ</v>
      </c>
      <c r="H292" t="str">
        <f t="shared" si="69"/>
        <v>MEL SANTIBANEZ</v>
      </c>
      <c r="I292" t="str">
        <f t="shared" si="70"/>
        <v>MEL.S</v>
      </c>
      <c r="J292" t="s">
        <v>32</v>
      </c>
      <c r="K292" t="s">
        <v>1954</v>
      </c>
      <c r="L292" t="s">
        <v>1955</v>
      </c>
      <c r="M292" t="s">
        <v>45</v>
      </c>
      <c r="N292">
        <v>94545</v>
      </c>
      <c r="O292" t="str">
        <f t="shared" si="71"/>
        <v>94545</v>
      </c>
      <c r="P292" t="str">
        <f t="shared" si="64"/>
        <v>3215 Wayside Lane, Hayward, CA, 94545</v>
      </c>
      <c r="Q292" t="s">
        <v>1956</v>
      </c>
      <c r="R292" t="str">
        <f t="shared" si="72"/>
        <v>MelissaNSantibanez</v>
      </c>
      <c r="S292" t="str">
        <f t="shared" si="73"/>
        <v>hotmail.com</v>
      </c>
      <c r="T292" t="str">
        <f t="shared" si="74"/>
        <v>hotmail</v>
      </c>
      <c r="U292" t="str">
        <f t="shared" si="75"/>
        <v>MelissaNSantibanez</v>
      </c>
      <c r="V292" t="s">
        <v>1957</v>
      </c>
      <c r="W292" t="str">
        <f t="shared" si="76"/>
        <v>510-</v>
      </c>
      <c r="X292" t="str">
        <f t="shared" si="77"/>
        <v>293</v>
      </c>
      <c r="Y292" t="str">
        <f t="shared" si="78"/>
        <v>-5989</v>
      </c>
      <c r="Z292" t="str">
        <f>SUBSTITUTE(V292,"-","|",2)</f>
        <v>510-293|5989</v>
      </c>
      <c r="AA292" t="str">
        <f>LEFT(V292,3)</f>
        <v>510</v>
      </c>
      <c r="AB292" t="str">
        <f>MID(V292,5,3)</f>
        <v>293</v>
      </c>
      <c r="AC292" t="str">
        <f>RIGHT(V292,4)</f>
        <v>5989</v>
      </c>
      <c r="AD292" s="3" t="s">
        <v>1958</v>
      </c>
      <c r="AE292" s="3" t="str">
        <f t="shared" si="79"/>
        <v>588</v>
      </c>
    </row>
    <row r="293" spans="1:31">
      <c r="A293" t="s">
        <v>1959</v>
      </c>
      <c r="B293" t="str">
        <f t="shared" si="65"/>
        <v>Salvador</v>
      </c>
      <c r="C293" t="s">
        <v>141</v>
      </c>
      <c r="D293" t="s">
        <v>1960</v>
      </c>
      <c r="E293" t="str">
        <f t="shared" si="66"/>
        <v>Jacquez</v>
      </c>
      <c r="F293" t="str">
        <f t="shared" si="67"/>
        <v>SALVADORJACQUEZ</v>
      </c>
      <c r="G293" t="str">
        <f t="shared" si="68"/>
        <v>SALVADORJACQUEZ</v>
      </c>
      <c r="H293" t="str">
        <f t="shared" si="69"/>
        <v>SAL JACQUEZ</v>
      </c>
      <c r="I293" t="str">
        <f t="shared" si="70"/>
        <v>SAL.J</v>
      </c>
      <c r="J293" t="s">
        <v>42</v>
      </c>
      <c r="K293" t="s">
        <v>1961</v>
      </c>
      <c r="L293" t="s">
        <v>1962</v>
      </c>
      <c r="M293" t="s">
        <v>35</v>
      </c>
      <c r="N293">
        <v>62939</v>
      </c>
      <c r="O293" t="str">
        <f t="shared" si="71"/>
        <v>62939</v>
      </c>
      <c r="P293" t="str">
        <f t="shared" si="64"/>
        <v>3383 Holden Street, Goreville, IL, 62939</v>
      </c>
      <c r="Q293" t="s">
        <v>1963</v>
      </c>
      <c r="R293" t="str">
        <f t="shared" si="72"/>
        <v>SalvadorEJacquez</v>
      </c>
      <c r="S293" t="str">
        <f t="shared" si="73"/>
        <v>hotmail.com</v>
      </c>
      <c r="T293" t="str">
        <f t="shared" si="74"/>
        <v>hotmail</v>
      </c>
      <c r="U293" t="str">
        <f t="shared" si="75"/>
        <v>SalvadorEJacquez</v>
      </c>
      <c r="V293" t="s">
        <v>1964</v>
      </c>
      <c r="W293" t="str">
        <f t="shared" si="76"/>
        <v>618-</v>
      </c>
      <c r="X293" t="str">
        <f t="shared" si="77"/>
        <v>995</v>
      </c>
      <c r="Y293" t="str">
        <f t="shared" si="78"/>
        <v>-1946</v>
      </c>
      <c r="Z293" t="str">
        <f>SUBSTITUTE(V293,"-","|",2)</f>
        <v>618-995|1946</v>
      </c>
      <c r="AA293" t="str">
        <f>LEFT(V293,3)</f>
        <v>618</v>
      </c>
      <c r="AB293" t="str">
        <f>MID(V293,5,3)</f>
        <v>995</v>
      </c>
      <c r="AC293" t="str">
        <f>RIGHT(V293,4)</f>
        <v>1946</v>
      </c>
      <c r="AD293" s="3" t="s">
        <v>1965</v>
      </c>
      <c r="AE293" s="3" t="str">
        <f t="shared" si="79"/>
        <v>288</v>
      </c>
    </row>
    <row r="294" spans="1:31">
      <c r="A294" t="s">
        <v>1966</v>
      </c>
      <c r="B294" t="str">
        <f t="shared" si="65"/>
        <v>Carol</v>
      </c>
      <c r="C294" t="s">
        <v>166</v>
      </c>
      <c r="D294" t="s">
        <v>1967</v>
      </c>
      <c r="E294" t="str">
        <f t="shared" si="66"/>
        <v>Konopka</v>
      </c>
      <c r="F294" t="str">
        <f t="shared" si="67"/>
        <v>CAROLKONOPKA</v>
      </c>
      <c r="G294" t="str">
        <f t="shared" si="68"/>
        <v>CAROLKONOPKA</v>
      </c>
      <c r="H294" t="str">
        <f t="shared" si="69"/>
        <v>CAR KONOPKA</v>
      </c>
      <c r="I294" t="str">
        <f t="shared" si="70"/>
        <v>CAR.K</v>
      </c>
      <c r="J294" t="s">
        <v>32</v>
      </c>
      <c r="K294" t="s">
        <v>1968</v>
      </c>
      <c r="L294" t="s">
        <v>1969</v>
      </c>
      <c r="M294" t="s">
        <v>369</v>
      </c>
      <c r="N294">
        <v>85040</v>
      </c>
      <c r="O294" t="str">
        <f t="shared" si="71"/>
        <v>85040</v>
      </c>
      <c r="P294" t="str">
        <f t="shared" si="64"/>
        <v>3168 Dogwood Road, Phoenix, AZ, 85040</v>
      </c>
      <c r="Q294" t="s">
        <v>1970</v>
      </c>
      <c r="R294" t="str">
        <f t="shared" si="72"/>
        <v>CarolBKonopka</v>
      </c>
      <c r="S294" t="str">
        <f t="shared" si="73"/>
        <v>aol.com</v>
      </c>
      <c r="T294" t="str">
        <f t="shared" si="74"/>
        <v>aol</v>
      </c>
      <c r="U294" t="str">
        <f t="shared" si="75"/>
        <v>CarolBKonopka</v>
      </c>
      <c r="V294" t="s">
        <v>1971</v>
      </c>
      <c r="W294" t="str">
        <f t="shared" si="76"/>
        <v>602-</v>
      </c>
      <c r="X294" t="str">
        <f t="shared" si="77"/>
        <v>658</v>
      </c>
      <c r="Y294" t="str">
        <f t="shared" si="78"/>
        <v>-8508</v>
      </c>
      <c r="Z294" t="str">
        <f>SUBSTITUTE(V294,"-","|",2)</f>
        <v>602-658|8508</v>
      </c>
      <c r="AA294" t="str">
        <f>LEFT(V294,3)</f>
        <v>602</v>
      </c>
      <c r="AB294" t="str">
        <f>MID(V294,5,3)</f>
        <v>658</v>
      </c>
      <c r="AC294" t="str">
        <f>RIGHT(V294,4)</f>
        <v>8508</v>
      </c>
      <c r="AD294" s="3" t="s">
        <v>1972</v>
      </c>
      <c r="AE294" s="3" t="str">
        <f t="shared" si="79"/>
        <v>3293</v>
      </c>
    </row>
    <row r="295" spans="1:31">
      <c r="A295" t="s">
        <v>1973</v>
      </c>
      <c r="B295" t="str">
        <f t="shared" si="65"/>
        <v>Juliet</v>
      </c>
      <c r="C295" t="s">
        <v>67</v>
      </c>
      <c r="D295" t="s">
        <v>1974</v>
      </c>
      <c r="E295" t="str">
        <f t="shared" si="66"/>
        <v>Savoie</v>
      </c>
      <c r="F295" t="str">
        <f t="shared" si="67"/>
        <v>JULIETSAVOIE</v>
      </c>
      <c r="G295" t="str">
        <f t="shared" si="68"/>
        <v>JULIETSAVOIE</v>
      </c>
      <c r="H295" t="str">
        <f t="shared" si="69"/>
        <v>JUL SAVOIE</v>
      </c>
      <c r="I295" t="str">
        <f t="shared" si="70"/>
        <v>JUL.S</v>
      </c>
      <c r="J295" t="s">
        <v>32</v>
      </c>
      <c r="K295" t="s">
        <v>1975</v>
      </c>
      <c r="L295" t="s">
        <v>1976</v>
      </c>
      <c r="M295" t="s">
        <v>88</v>
      </c>
      <c r="N295">
        <v>75075</v>
      </c>
      <c r="O295" t="str">
        <f t="shared" si="71"/>
        <v>75075</v>
      </c>
      <c r="P295" t="str">
        <f t="shared" si="64"/>
        <v>2973 Carolyns Circle, Plano, TX, 75075</v>
      </c>
      <c r="Q295" t="s">
        <v>1977</v>
      </c>
      <c r="R295" t="str">
        <f t="shared" si="72"/>
        <v>JulietDSavoie</v>
      </c>
      <c r="S295" t="str">
        <f t="shared" si="73"/>
        <v>gmail.com</v>
      </c>
      <c r="T295" t="str">
        <f t="shared" si="74"/>
        <v>gmail</v>
      </c>
      <c r="U295" t="str">
        <f t="shared" si="75"/>
        <v>JulietDSavoie</v>
      </c>
      <c r="V295" t="s">
        <v>1978</v>
      </c>
      <c r="W295" t="str">
        <f t="shared" si="76"/>
        <v>214-</v>
      </c>
      <c r="X295" t="str">
        <f t="shared" si="77"/>
        <v>758</v>
      </c>
      <c r="Y295" t="str">
        <f t="shared" si="78"/>
        <v>-3149</v>
      </c>
      <c r="Z295" t="str">
        <f>SUBSTITUTE(V295,"-","|",2)</f>
        <v>214-758|3149</v>
      </c>
      <c r="AA295" t="str">
        <f>LEFT(V295,3)</f>
        <v>214</v>
      </c>
      <c r="AB295" t="str">
        <f>MID(V295,5,3)</f>
        <v>758</v>
      </c>
      <c r="AC295" t="str">
        <f>RIGHT(V295,4)</f>
        <v>3149</v>
      </c>
      <c r="AD295" s="3" t="s">
        <v>1979</v>
      </c>
      <c r="AE295" s="3" t="str">
        <f t="shared" si="79"/>
        <v>016</v>
      </c>
    </row>
    <row r="296" spans="1:31">
      <c r="A296" t="s">
        <v>1980</v>
      </c>
      <c r="B296" t="str">
        <f t="shared" si="65"/>
        <v>Kendra</v>
      </c>
      <c r="C296" t="s">
        <v>67</v>
      </c>
      <c r="D296" t="s">
        <v>1981</v>
      </c>
      <c r="E296" t="str">
        <f t="shared" si="66"/>
        <v>Huff</v>
      </c>
      <c r="F296" t="str">
        <f t="shared" si="67"/>
        <v>KENDRAHUFF</v>
      </c>
      <c r="G296" t="str">
        <f t="shared" si="68"/>
        <v>KENDRAHUFF</v>
      </c>
      <c r="H296" t="str">
        <f t="shared" si="69"/>
        <v>KEN HUFF</v>
      </c>
      <c r="I296" t="str">
        <f t="shared" si="70"/>
        <v>KEN.H</v>
      </c>
      <c r="J296" t="s">
        <v>32</v>
      </c>
      <c r="K296" t="s">
        <v>1982</v>
      </c>
      <c r="L296" t="s">
        <v>768</v>
      </c>
      <c r="M296" t="s">
        <v>161</v>
      </c>
      <c r="N296">
        <v>48219</v>
      </c>
      <c r="O296" t="str">
        <f t="shared" si="71"/>
        <v>48219</v>
      </c>
      <c r="P296" t="str">
        <f t="shared" si="64"/>
        <v>4238 Nash Street, Detroit, MI, 48219</v>
      </c>
      <c r="Q296" t="s">
        <v>1983</v>
      </c>
      <c r="R296" t="str">
        <f t="shared" si="72"/>
        <v>KendraDHuff</v>
      </c>
      <c r="S296" t="str">
        <f t="shared" si="73"/>
        <v>aol.com</v>
      </c>
      <c r="T296" t="str">
        <f t="shared" si="74"/>
        <v>aol</v>
      </c>
      <c r="U296" t="str">
        <f t="shared" si="75"/>
        <v>KendraDHuff</v>
      </c>
      <c r="V296" t="s">
        <v>1984</v>
      </c>
      <c r="W296" t="str">
        <f t="shared" si="76"/>
        <v>313-</v>
      </c>
      <c r="X296" t="str">
        <f t="shared" si="77"/>
        <v>244</v>
      </c>
      <c r="Y296" t="str">
        <f t="shared" si="78"/>
        <v>-2334</v>
      </c>
      <c r="Z296" t="str">
        <f>SUBSTITUTE(V296,"-","|",2)</f>
        <v>313-244|2334</v>
      </c>
      <c r="AA296" t="str">
        <f>LEFT(V296,3)</f>
        <v>313</v>
      </c>
      <c r="AB296" t="str">
        <f>MID(V296,5,3)</f>
        <v>244</v>
      </c>
      <c r="AC296" t="str">
        <f>RIGHT(V296,4)</f>
        <v>2334</v>
      </c>
      <c r="AD296" s="3" t="s">
        <v>1985</v>
      </c>
      <c r="AE296" s="3" t="str">
        <f t="shared" si="79"/>
        <v>292</v>
      </c>
    </row>
    <row r="297" spans="1:31">
      <c r="A297" t="s">
        <v>1986</v>
      </c>
      <c r="B297" t="str">
        <f t="shared" si="65"/>
        <v>Betty</v>
      </c>
      <c r="C297" t="s">
        <v>58</v>
      </c>
      <c r="D297" t="s">
        <v>1987</v>
      </c>
      <c r="E297" t="str">
        <f t="shared" si="66"/>
        <v>Morgan</v>
      </c>
      <c r="F297" t="str">
        <f t="shared" si="67"/>
        <v>BETTYMORGAN</v>
      </c>
      <c r="G297" t="str">
        <f t="shared" si="68"/>
        <v>BETTYMORGAN</v>
      </c>
      <c r="H297" t="str">
        <f t="shared" si="69"/>
        <v>BET MORGAN</v>
      </c>
      <c r="I297" t="str">
        <f t="shared" si="70"/>
        <v>BET.M</v>
      </c>
      <c r="J297" t="s">
        <v>32</v>
      </c>
      <c r="K297" t="s">
        <v>1988</v>
      </c>
      <c r="L297" t="s">
        <v>1989</v>
      </c>
      <c r="M297" t="s">
        <v>45</v>
      </c>
      <c r="N297">
        <v>90660</v>
      </c>
      <c r="O297" t="str">
        <f t="shared" si="71"/>
        <v>90660</v>
      </c>
      <c r="P297" t="str">
        <f t="shared" si="64"/>
        <v>92 Kerry Way, Pico Rivera, CA, 90660</v>
      </c>
      <c r="Q297" t="s">
        <v>1990</v>
      </c>
      <c r="R297" t="str">
        <f t="shared" si="72"/>
        <v>BettyMMorgan</v>
      </c>
      <c r="S297" t="str">
        <f t="shared" si="73"/>
        <v>hotmail.com</v>
      </c>
      <c r="T297" t="str">
        <f t="shared" si="74"/>
        <v>hotmail</v>
      </c>
      <c r="U297" t="str">
        <f t="shared" si="75"/>
        <v>BettyMMorgan</v>
      </c>
      <c r="V297" t="s">
        <v>1991</v>
      </c>
      <c r="W297" t="str">
        <f t="shared" si="76"/>
        <v>562-</v>
      </c>
      <c r="X297" t="str">
        <f t="shared" si="77"/>
        <v>801</v>
      </c>
      <c r="Y297" t="str">
        <f t="shared" si="78"/>
        <v>-5030</v>
      </c>
      <c r="Z297" t="str">
        <f>SUBSTITUTE(V297,"-","|",2)</f>
        <v>562-801|5030</v>
      </c>
      <c r="AA297" t="str">
        <f>LEFT(V297,3)</f>
        <v>562</v>
      </c>
      <c r="AB297" t="str">
        <f>MID(V297,5,3)</f>
        <v>801</v>
      </c>
      <c r="AC297" t="str">
        <f>RIGHT(V297,4)</f>
        <v>5030</v>
      </c>
      <c r="AD297" s="3" t="s">
        <v>1992</v>
      </c>
      <c r="AE297" s="3" t="str">
        <f t="shared" si="79"/>
        <v>3068</v>
      </c>
    </row>
    <row r="298" spans="1:31">
      <c r="A298" t="s">
        <v>83</v>
      </c>
      <c r="B298" t="str">
        <f t="shared" si="65"/>
        <v>Diane</v>
      </c>
      <c r="C298" t="s">
        <v>116</v>
      </c>
      <c r="D298" t="s">
        <v>1993</v>
      </c>
      <c r="E298" t="str">
        <f t="shared" si="66"/>
        <v>Carter</v>
      </c>
      <c r="F298" t="str">
        <f t="shared" si="67"/>
        <v>DIANECARTER</v>
      </c>
      <c r="G298" t="str">
        <f t="shared" si="68"/>
        <v>DIANECARTER</v>
      </c>
      <c r="H298" t="str">
        <f t="shared" si="69"/>
        <v>DIA CARTER</v>
      </c>
      <c r="I298" t="str">
        <f t="shared" si="70"/>
        <v>DIA.C</v>
      </c>
      <c r="J298" t="s">
        <v>32</v>
      </c>
      <c r="K298" t="s">
        <v>1994</v>
      </c>
      <c r="L298" t="s">
        <v>1995</v>
      </c>
      <c r="M298" t="s">
        <v>604</v>
      </c>
      <c r="N298">
        <v>40244</v>
      </c>
      <c r="O298" t="str">
        <f t="shared" si="71"/>
        <v>40244</v>
      </c>
      <c r="P298" t="str">
        <f t="shared" si="64"/>
        <v>254 Gregory Lane, Louisville, KY, 40244</v>
      </c>
      <c r="Q298" t="s">
        <v>1996</v>
      </c>
      <c r="R298" t="str">
        <f t="shared" si="72"/>
        <v>DianeHCarter</v>
      </c>
      <c r="S298" t="str">
        <f t="shared" si="73"/>
        <v>gmail.com</v>
      </c>
      <c r="T298" t="str">
        <f t="shared" si="74"/>
        <v>gmail</v>
      </c>
      <c r="U298" t="str">
        <f t="shared" si="75"/>
        <v>DianeHCarter</v>
      </c>
      <c r="V298" t="s">
        <v>1997</v>
      </c>
      <c r="W298" t="str">
        <f t="shared" si="76"/>
        <v>502-</v>
      </c>
      <c r="X298" t="str">
        <f t="shared" si="77"/>
        <v>482</v>
      </c>
      <c r="Y298" t="str">
        <f t="shared" si="78"/>
        <v>-5966</v>
      </c>
      <c r="Z298" t="str">
        <f>SUBSTITUTE(V298,"-","|",2)</f>
        <v>502-482|5966</v>
      </c>
      <c r="AA298" t="str">
        <f>LEFT(V298,3)</f>
        <v>502</v>
      </c>
      <c r="AB298" t="str">
        <f>MID(V298,5,3)</f>
        <v>482</v>
      </c>
      <c r="AC298" t="str">
        <f>RIGHT(V298,4)</f>
        <v>5966</v>
      </c>
      <c r="AD298" s="3" t="s">
        <v>1998</v>
      </c>
      <c r="AE298" s="3" t="str">
        <f t="shared" si="79"/>
        <v>5660</v>
      </c>
    </row>
    <row r="299" spans="1:31">
      <c r="A299" t="s">
        <v>1999</v>
      </c>
      <c r="B299" t="str">
        <f t="shared" si="65"/>
        <v>Johnie</v>
      </c>
      <c r="C299" t="s">
        <v>297</v>
      </c>
      <c r="D299" t="s">
        <v>2000</v>
      </c>
      <c r="E299" t="str">
        <f t="shared" si="66"/>
        <v>Hall</v>
      </c>
      <c r="F299" t="str">
        <f t="shared" si="67"/>
        <v>JOHNIEHALL</v>
      </c>
      <c r="G299" t="str">
        <f t="shared" si="68"/>
        <v>JOHNIEHALL</v>
      </c>
      <c r="H299" t="str">
        <f t="shared" si="69"/>
        <v>JOH HALL</v>
      </c>
      <c r="I299" t="str">
        <f t="shared" si="70"/>
        <v>JOH.H</v>
      </c>
      <c r="J299" t="s">
        <v>32</v>
      </c>
      <c r="K299" t="s">
        <v>2001</v>
      </c>
      <c r="L299" t="s">
        <v>1661</v>
      </c>
      <c r="M299" t="s">
        <v>153</v>
      </c>
      <c r="N299">
        <v>53202</v>
      </c>
      <c r="O299" t="str">
        <f t="shared" si="71"/>
        <v>53202</v>
      </c>
      <c r="P299" t="str">
        <f t="shared" si="64"/>
        <v>1057 Oakridge Farm Lane, Milwaukee, WI, 53202</v>
      </c>
      <c r="Q299" t="s">
        <v>2002</v>
      </c>
      <c r="R299" t="str">
        <f t="shared" si="72"/>
        <v>JohnieTHall</v>
      </c>
      <c r="S299" t="str">
        <f t="shared" si="73"/>
        <v>hotmail.com</v>
      </c>
      <c r="T299" t="str">
        <f t="shared" si="74"/>
        <v>hotmail</v>
      </c>
      <c r="U299" t="str">
        <f t="shared" si="75"/>
        <v>JohnieTHall</v>
      </c>
      <c r="V299" t="s">
        <v>2003</v>
      </c>
      <c r="W299" t="str">
        <f t="shared" si="76"/>
        <v>262-</v>
      </c>
      <c r="X299" t="str">
        <f t="shared" si="77"/>
        <v>298</v>
      </c>
      <c r="Y299" t="str">
        <f t="shared" si="78"/>
        <v>-6085</v>
      </c>
      <c r="Z299" t="str">
        <f>SUBSTITUTE(V299,"-","|",2)</f>
        <v>262-298|6085</v>
      </c>
      <c r="AA299" t="str">
        <f>LEFT(V299,3)</f>
        <v>262</v>
      </c>
      <c r="AB299" t="str">
        <f>MID(V299,5,3)</f>
        <v>298</v>
      </c>
      <c r="AC299" t="str">
        <f>RIGHT(V299,4)</f>
        <v>6085</v>
      </c>
      <c r="AD299" s="3" t="s">
        <v>2004</v>
      </c>
      <c r="AE299" s="3" t="str">
        <f t="shared" si="79"/>
        <v>8078</v>
      </c>
    </row>
    <row r="300" spans="1:31">
      <c r="A300" t="s">
        <v>548</v>
      </c>
      <c r="B300" t="str">
        <f t="shared" si="65"/>
        <v>Mildred</v>
      </c>
      <c r="C300" t="s">
        <v>30</v>
      </c>
      <c r="D300" t="s">
        <v>2005</v>
      </c>
      <c r="E300" t="str">
        <f t="shared" si="66"/>
        <v>Stainbrook</v>
      </c>
      <c r="F300" t="str">
        <f t="shared" si="67"/>
        <v>MILDREDSTAINBROOK</v>
      </c>
      <c r="G300" t="str">
        <f t="shared" si="68"/>
        <v>MILDREDSTAINBROOK</v>
      </c>
      <c r="H300" t="str">
        <f t="shared" si="69"/>
        <v>MIL STAINBROOK</v>
      </c>
      <c r="I300" t="str">
        <f t="shared" si="70"/>
        <v>MIL.S</v>
      </c>
      <c r="J300" t="s">
        <v>32</v>
      </c>
      <c r="K300" t="s">
        <v>2006</v>
      </c>
      <c r="L300" t="s">
        <v>1768</v>
      </c>
      <c r="M300" t="s">
        <v>256</v>
      </c>
      <c r="N300">
        <v>27407</v>
      </c>
      <c r="O300" t="str">
        <f t="shared" si="71"/>
        <v>27407</v>
      </c>
      <c r="P300" t="str">
        <f t="shared" si="64"/>
        <v>3807 Keyser Ridge Road, Greensboro, NC, 27407</v>
      </c>
      <c r="Q300" t="s">
        <v>2007</v>
      </c>
      <c r="R300" t="str">
        <f t="shared" si="72"/>
        <v>MildredJStainbrook</v>
      </c>
      <c r="S300" t="str">
        <f t="shared" si="73"/>
        <v>hotmail.com</v>
      </c>
      <c r="T300" t="str">
        <f t="shared" si="74"/>
        <v>hotmail</v>
      </c>
      <c r="U300" t="str">
        <f t="shared" si="75"/>
        <v>MildredJStainbrook</v>
      </c>
      <c r="V300" t="s">
        <v>2008</v>
      </c>
      <c r="W300" t="str">
        <f t="shared" si="76"/>
        <v>336-</v>
      </c>
      <c r="X300" t="str">
        <f t="shared" si="77"/>
        <v>458</v>
      </c>
      <c r="Y300" t="str">
        <f t="shared" si="78"/>
        <v>-1243</v>
      </c>
      <c r="Z300" t="str">
        <f>SUBSTITUTE(V300,"-","|",2)</f>
        <v>336-458|1243</v>
      </c>
      <c r="AA300" t="str">
        <f>LEFT(V300,3)</f>
        <v>336</v>
      </c>
      <c r="AB300" t="str">
        <f>MID(V300,5,3)</f>
        <v>458</v>
      </c>
      <c r="AC300" t="str">
        <f>RIGHT(V300,4)</f>
        <v>1243</v>
      </c>
      <c r="AD300" s="3" t="s">
        <v>2009</v>
      </c>
      <c r="AE300" s="3" t="str">
        <f t="shared" si="79"/>
        <v>057</v>
      </c>
    </row>
    <row r="301" spans="1:31">
      <c r="A301" t="s">
        <v>834</v>
      </c>
      <c r="B301" t="str">
        <f t="shared" si="65"/>
        <v>Ronald</v>
      </c>
      <c r="C301" t="s">
        <v>84</v>
      </c>
      <c r="D301" t="s">
        <v>2010</v>
      </c>
      <c r="E301" t="str">
        <f t="shared" si="66"/>
        <v>Rosenblum</v>
      </c>
      <c r="F301" t="str">
        <f t="shared" si="67"/>
        <v>RONALDROSENBLUM</v>
      </c>
      <c r="G301" t="str">
        <f t="shared" si="68"/>
        <v>RONALDROSENBLUM</v>
      </c>
      <c r="H301" t="str">
        <f t="shared" si="69"/>
        <v>RON ROSENBLUM</v>
      </c>
      <c r="I301" t="str">
        <f t="shared" si="70"/>
        <v>RON.R</v>
      </c>
      <c r="J301" t="s">
        <v>42</v>
      </c>
      <c r="K301" t="s">
        <v>2011</v>
      </c>
      <c r="L301" t="s">
        <v>2012</v>
      </c>
      <c r="M301" t="s">
        <v>53</v>
      </c>
      <c r="N301">
        <v>7608</v>
      </c>
      <c r="O301" t="str">
        <f t="shared" si="71"/>
        <v>07608</v>
      </c>
      <c r="P301" t="str">
        <f t="shared" si="64"/>
        <v>1227 Red Bud Lane, Teterboro, NJ, 7608</v>
      </c>
      <c r="Q301" t="s">
        <v>2013</v>
      </c>
      <c r="R301" t="str">
        <f t="shared" si="72"/>
        <v>RonaldKRosenblum</v>
      </c>
      <c r="S301" t="str">
        <f t="shared" si="73"/>
        <v>aol.com</v>
      </c>
      <c r="T301" t="str">
        <f t="shared" si="74"/>
        <v>aol</v>
      </c>
      <c r="U301" t="str">
        <f t="shared" si="75"/>
        <v>RonaldKRosenblum</v>
      </c>
      <c r="V301" t="s">
        <v>2014</v>
      </c>
      <c r="W301" t="str">
        <f t="shared" si="76"/>
        <v>862-</v>
      </c>
      <c r="X301" t="str">
        <f t="shared" si="77"/>
        <v>223</v>
      </c>
      <c r="Y301" t="str">
        <f t="shared" si="78"/>
        <v>-2412</v>
      </c>
      <c r="Z301" t="str">
        <f>SUBSTITUTE(V301,"-","|",2)</f>
        <v>862-223|2412</v>
      </c>
      <c r="AA301" t="str">
        <f>LEFT(V301,3)</f>
        <v>862</v>
      </c>
      <c r="AB301" t="str">
        <f>MID(V301,5,3)</f>
        <v>223</v>
      </c>
      <c r="AC301" t="str">
        <f>RIGHT(V301,4)</f>
        <v>2412</v>
      </c>
      <c r="AD301" s="3" t="s">
        <v>2015</v>
      </c>
      <c r="AE301" s="3" t="str">
        <f t="shared" si="79"/>
        <v>259</v>
      </c>
    </row>
    <row r="302" spans="1:31">
      <c r="A302" t="s">
        <v>2016</v>
      </c>
      <c r="B302" t="str">
        <f t="shared" si="65"/>
        <v>Monica</v>
      </c>
      <c r="C302" t="s">
        <v>67</v>
      </c>
      <c r="D302" t="s">
        <v>2017</v>
      </c>
      <c r="E302" t="str">
        <f t="shared" si="66"/>
        <v>Faulkner</v>
      </c>
      <c r="F302" t="str">
        <f t="shared" si="67"/>
        <v>MONICAFAULKNER</v>
      </c>
      <c r="G302" t="str">
        <f t="shared" si="68"/>
        <v>MONICAFAULKNER</v>
      </c>
      <c r="H302" t="str">
        <f t="shared" si="69"/>
        <v>MON FAULKNER</v>
      </c>
      <c r="I302" t="str">
        <f t="shared" si="70"/>
        <v>MON.F</v>
      </c>
      <c r="J302" t="s">
        <v>32</v>
      </c>
      <c r="K302" t="s">
        <v>2018</v>
      </c>
      <c r="L302" t="s">
        <v>412</v>
      </c>
      <c r="M302" t="s">
        <v>413</v>
      </c>
      <c r="N302">
        <v>20191</v>
      </c>
      <c r="O302" t="str">
        <f t="shared" si="71"/>
        <v>20191</v>
      </c>
      <c r="P302" t="str">
        <f t="shared" si="64"/>
        <v>4170 Wilmar Farm Road, Reston, MD, 20191</v>
      </c>
      <c r="Q302" t="s">
        <v>2019</v>
      </c>
      <c r="R302" t="str">
        <f t="shared" si="72"/>
        <v>MonicaDFaulkner</v>
      </c>
      <c r="S302" t="str">
        <f t="shared" si="73"/>
        <v>aol.com</v>
      </c>
      <c r="T302" t="str">
        <f t="shared" si="74"/>
        <v>aol</v>
      </c>
      <c r="U302" t="str">
        <f t="shared" si="75"/>
        <v>MonicaDFaulkner</v>
      </c>
      <c r="V302" t="s">
        <v>2020</v>
      </c>
      <c r="W302" t="str">
        <f t="shared" si="76"/>
        <v>240-</v>
      </c>
      <c r="X302" t="str">
        <f t="shared" si="77"/>
        <v>358</v>
      </c>
      <c r="Y302" t="str">
        <f t="shared" si="78"/>
        <v>-7903</v>
      </c>
      <c r="Z302" t="str">
        <f>SUBSTITUTE(V302,"-","|",2)</f>
        <v>240-358|7903</v>
      </c>
      <c r="AA302" t="str">
        <f>LEFT(V302,3)</f>
        <v>240</v>
      </c>
      <c r="AB302" t="str">
        <f>MID(V302,5,3)</f>
        <v>358</v>
      </c>
      <c r="AC302" t="str">
        <f>RIGHT(V302,4)</f>
        <v>7903</v>
      </c>
      <c r="AD302" s="3" t="s">
        <v>2021</v>
      </c>
      <c r="AE302" s="3" t="str">
        <f t="shared" si="79"/>
        <v>318</v>
      </c>
    </row>
    <row r="303" spans="1:31">
      <c r="A303" t="s">
        <v>2022</v>
      </c>
      <c r="B303" t="str">
        <f t="shared" si="65"/>
        <v>Clayton</v>
      </c>
      <c r="C303" t="s">
        <v>297</v>
      </c>
      <c r="D303" t="s">
        <v>2023</v>
      </c>
      <c r="E303" t="str">
        <f t="shared" si="66"/>
        <v>Olivo</v>
      </c>
      <c r="F303" t="str">
        <f t="shared" si="67"/>
        <v>CLAYTONOLIVO</v>
      </c>
      <c r="G303" t="str">
        <f t="shared" si="68"/>
        <v>CLAYTONOLIVO</v>
      </c>
      <c r="H303" t="str">
        <f t="shared" si="69"/>
        <v>CLA OLIVO</v>
      </c>
      <c r="I303" t="str">
        <f t="shared" si="70"/>
        <v>CLA.O</v>
      </c>
      <c r="J303" t="s">
        <v>42</v>
      </c>
      <c r="K303" t="s">
        <v>2024</v>
      </c>
      <c r="L303" t="s">
        <v>1713</v>
      </c>
      <c r="M303" t="s">
        <v>530</v>
      </c>
      <c r="N303">
        <v>38930</v>
      </c>
      <c r="O303" t="str">
        <f t="shared" si="71"/>
        <v>38930</v>
      </c>
      <c r="P303" t="str">
        <f t="shared" si="64"/>
        <v>2503 Rafe Lane, Greenwood, MS, 38930</v>
      </c>
      <c r="Q303" t="s">
        <v>2025</v>
      </c>
      <c r="R303" t="str">
        <f t="shared" si="72"/>
        <v>ClaytonTOlivo</v>
      </c>
      <c r="S303" t="str">
        <f t="shared" si="73"/>
        <v>aol.com</v>
      </c>
      <c r="T303" t="str">
        <f t="shared" si="74"/>
        <v>aol</v>
      </c>
      <c r="U303" t="str">
        <f t="shared" si="75"/>
        <v>ClaytonTOlivo</v>
      </c>
      <c r="V303" t="s">
        <v>2026</v>
      </c>
      <c r="W303" t="str">
        <f t="shared" si="76"/>
        <v>662-</v>
      </c>
      <c r="X303" t="str">
        <f t="shared" si="77"/>
        <v>654</v>
      </c>
      <c r="Y303" t="str">
        <f t="shared" si="78"/>
        <v>-6800</v>
      </c>
      <c r="Z303" t="str">
        <f>SUBSTITUTE(V303,"-","|",2)</f>
        <v>662-654|6800</v>
      </c>
      <c r="AA303" t="str">
        <f>LEFT(V303,3)</f>
        <v>662</v>
      </c>
      <c r="AB303" t="str">
        <f>MID(V303,5,3)</f>
        <v>654</v>
      </c>
      <c r="AC303" t="str">
        <f>RIGHT(V303,4)</f>
        <v>6800</v>
      </c>
      <c r="AD303" s="3" t="s">
        <v>2027</v>
      </c>
      <c r="AE303" s="3" t="str">
        <f t="shared" si="79"/>
        <v>485</v>
      </c>
    </row>
    <row r="304" spans="1:31">
      <c r="A304" t="s">
        <v>1598</v>
      </c>
      <c r="B304" t="str">
        <f t="shared" si="65"/>
        <v>Matthew</v>
      </c>
      <c r="C304" t="s">
        <v>166</v>
      </c>
      <c r="D304" t="s">
        <v>2028</v>
      </c>
      <c r="E304" t="str">
        <f t="shared" si="66"/>
        <v>Olivera</v>
      </c>
      <c r="F304" t="str">
        <f t="shared" si="67"/>
        <v>MATTHEWOLIVERA</v>
      </c>
      <c r="G304" t="str">
        <f t="shared" si="68"/>
        <v>MATTHEWOLIVERA</v>
      </c>
      <c r="H304" t="str">
        <f t="shared" si="69"/>
        <v>MAT OLIVERA</v>
      </c>
      <c r="I304" t="str">
        <f t="shared" si="70"/>
        <v>MAT.O</v>
      </c>
      <c r="J304" t="s">
        <v>42</v>
      </c>
      <c r="K304" t="s">
        <v>2029</v>
      </c>
      <c r="L304" t="s">
        <v>1713</v>
      </c>
      <c r="M304" t="s">
        <v>530</v>
      </c>
      <c r="N304">
        <v>38930</v>
      </c>
      <c r="O304" t="str">
        <f t="shared" si="71"/>
        <v>38930</v>
      </c>
      <c r="P304" t="str">
        <f t="shared" si="64"/>
        <v>950 Brownton Road, Greenwood, MS, 38930</v>
      </c>
      <c r="Q304" t="s">
        <v>2030</v>
      </c>
      <c r="R304" t="str">
        <f t="shared" si="72"/>
        <v>MatthewBOlivera</v>
      </c>
      <c r="S304" t="str">
        <f t="shared" si="73"/>
        <v>aol.com</v>
      </c>
      <c r="T304" t="str">
        <f t="shared" si="74"/>
        <v>aol</v>
      </c>
      <c r="U304" t="str">
        <f t="shared" si="75"/>
        <v>MatthewBOlivera</v>
      </c>
      <c r="V304" t="s">
        <v>2031</v>
      </c>
      <c r="W304" t="str">
        <f t="shared" si="76"/>
        <v>662-</v>
      </c>
      <c r="X304" t="str">
        <f t="shared" si="77"/>
        <v>364</v>
      </c>
      <c r="Y304" t="str">
        <f t="shared" si="78"/>
        <v>-1041</v>
      </c>
      <c r="Z304" t="str">
        <f>SUBSTITUTE(V304,"-","|",2)</f>
        <v>662-364|1041</v>
      </c>
      <c r="AA304" t="str">
        <f>LEFT(V304,3)</f>
        <v>662</v>
      </c>
      <c r="AB304" t="str">
        <f>MID(V304,5,3)</f>
        <v>364</v>
      </c>
      <c r="AC304" t="str">
        <f>RIGHT(V304,4)</f>
        <v>1041</v>
      </c>
      <c r="AD304" s="3" t="s">
        <v>2032</v>
      </c>
      <c r="AE304" s="3" t="str">
        <f t="shared" si="79"/>
        <v>4493</v>
      </c>
    </row>
    <row r="305" spans="1:31">
      <c r="A305" t="s">
        <v>2033</v>
      </c>
      <c r="B305" t="str">
        <f t="shared" si="65"/>
        <v>Juan</v>
      </c>
      <c r="C305" t="s">
        <v>58</v>
      </c>
      <c r="D305" t="s">
        <v>2034</v>
      </c>
      <c r="E305" t="str">
        <f t="shared" si="66"/>
        <v>Parisi</v>
      </c>
      <c r="F305" t="str">
        <f t="shared" si="67"/>
        <v>JUANPARISI</v>
      </c>
      <c r="G305" t="str">
        <f t="shared" si="68"/>
        <v>JUANPARISI</v>
      </c>
      <c r="H305" t="str">
        <f t="shared" si="69"/>
        <v>JUA PARISI</v>
      </c>
      <c r="I305" t="str">
        <f t="shared" si="70"/>
        <v>JUA.P</v>
      </c>
      <c r="J305" t="s">
        <v>42</v>
      </c>
      <c r="K305" t="s">
        <v>2035</v>
      </c>
      <c r="L305" t="s">
        <v>2036</v>
      </c>
      <c r="M305" t="s">
        <v>45</v>
      </c>
      <c r="N305">
        <v>95688</v>
      </c>
      <c r="O305" t="str">
        <f t="shared" si="71"/>
        <v>95688</v>
      </c>
      <c r="P305" t="str">
        <f t="shared" si="64"/>
        <v>2356 Fairway Drive, Vacaville, CA, 95688</v>
      </c>
      <c r="Q305" t="s">
        <v>2037</v>
      </c>
      <c r="R305" t="str">
        <f t="shared" si="72"/>
        <v>JuanMParisi</v>
      </c>
      <c r="S305" t="str">
        <f t="shared" si="73"/>
        <v>hotmail.com</v>
      </c>
      <c r="T305" t="str">
        <f t="shared" si="74"/>
        <v>hotmail</v>
      </c>
      <c r="U305" t="str">
        <f t="shared" si="75"/>
        <v>JuanMParisi</v>
      </c>
      <c r="V305" t="s">
        <v>2038</v>
      </c>
      <c r="W305" t="str">
        <f t="shared" si="76"/>
        <v>707-</v>
      </c>
      <c r="X305" t="str">
        <f t="shared" si="77"/>
        <v>451</v>
      </c>
      <c r="Y305" t="str">
        <f t="shared" si="78"/>
        <v>-5021</v>
      </c>
      <c r="Z305" t="str">
        <f>SUBSTITUTE(V305,"-","|",2)</f>
        <v>707-451|5021</v>
      </c>
      <c r="AA305" t="str">
        <f>LEFT(V305,3)</f>
        <v>707</v>
      </c>
      <c r="AB305" t="str">
        <f>MID(V305,5,3)</f>
        <v>451</v>
      </c>
      <c r="AC305" t="str">
        <f>RIGHT(V305,4)</f>
        <v>5021</v>
      </c>
      <c r="AD305" s="3" t="s">
        <v>2039</v>
      </c>
      <c r="AE305" s="3" t="str">
        <f t="shared" si="79"/>
        <v>4081</v>
      </c>
    </row>
    <row r="306" spans="1:31">
      <c r="A306" t="s">
        <v>2040</v>
      </c>
      <c r="B306" t="str">
        <f t="shared" si="65"/>
        <v>Cecilia</v>
      </c>
      <c r="C306" t="s">
        <v>58</v>
      </c>
      <c r="D306" t="s">
        <v>2041</v>
      </c>
      <c r="E306" t="str">
        <f t="shared" si="66"/>
        <v>Watts</v>
      </c>
      <c r="F306" t="str">
        <f t="shared" si="67"/>
        <v>CECILIAWATTS</v>
      </c>
      <c r="G306" t="str">
        <f t="shared" si="68"/>
        <v>CECILIAWATTS</v>
      </c>
      <c r="H306" t="str">
        <f t="shared" si="69"/>
        <v>CEC WATTS</v>
      </c>
      <c r="I306" t="str">
        <f t="shared" si="70"/>
        <v>CEC.W</v>
      </c>
      <c r="J306" t="s">
        <v>32</v>
      </c>
      <c r="K306" t="s">
        <v>2042</v>
      </c>
      <c r="L306" t="s">
        <v>2043</v>
      </c>
      <c r="M306" t="s">
        <v>897</v>
      </c>
      <c r="N306">
        <v>67460</v>
      </c>
      <c r="O306" t="str">
        <f t="shared" si="71"/>
        <v>67460</v>
      </c>
      <c r="P306" t="str">
        <f t="shared" si="64"/>
        <v>2349 Roosevelt Road, Mcpherson, KS, 67460</v>
      </c>
      <c r="Q306" t="s">
        <v>2044</v>
      </c>
      <c r="R306" t="str">
        <f t="shared" si="72"/>
        <v>CeciliaMWatts</v>
      </c>
      <c r="S306" t="str">
        <f t="shared" si="73"/>
        <v>hotmail.com</v>
      </c>
      <c r="T306" t="str">
        <f t="shared" si="74"/>
        <v>hotmail</v>
      </c>
      <c r="U306" t="str">
        <f t="shared" si="75"/>
        <v>CeciliaMWatts</v>
      </c>
      <c r="V306" t="s">
        <v>2045</v>
      </c>
      <c r="W306" t="str">
        <f t="shared" si="76"/>
        <v>620-</v>
      </c>
      <c r="X306" t="str">
        <f t="shared" si="77"/>
        <v>242</v>
      </c>
      <c r="Y306" t="str">
        <f t="shared" si="78"/>
        <v>-3192</v>
      </c>
      <c r="Z306" t="str">
        <f>SUBSTITUTE(V306,"-","|",2)</f>
        <v>620-242|3192</v>
      </c>
      <c r="AA306" t="str">
        <f>LEFT(V306,3)</f>
        <v>620</v>
      </c>
      <c r="AB306" t="str">
        <f>MID(V306,5,3)</f>
        <v>242</v>
      </c>
      <c r="AC306" t="str">
        <f>RIGHT(V306,4)</f>
        <v>3192</v>
      </c>
      <c r="AD306" s="3" t="s">
        <v>2046</v>
      </c>
      <c r="AE306" s="3" t="str">
        <f t="shared" si="79"/>
        <v>120</v>
      </c>
    </row>
    <row r="307" spans="1:31">
      <c r="A307" t="s">
        <v>2047</v>
      </c>
      <c r="B307" t="str">
        <f t="shared" si="65"/>
        <v>Dennis</v>
      </c>
      <c r="C307" t="s">
        <v>58</v>
      </c>
      <c r="D307" t="s">
        <v>909</v>
      </c>
      <c r="E307" t="str">
        <f t="shared" si="66"/>
        <v>Wright</v>
      </c>
      <c r="F307" t="str">
        <f t="shared" si="67"/>
        <v>DENNISWRIGHT</v>
      </c>
      <c r="G307" t="str">
        <f t="shared" si="68"/>
        <v>DENNISWRIGHT</v>
      </c>
      <c r="H307" t="str">
        <f t="shared" si="69"/>
        <v>DEN WRIGHT</v>
      </c>
      <c r="I307" t="str">
        <f t="shared" si="70"/>
        <v>DEN.W</v>
      </c>
      <c r="J307" t="s">
        <v>42</v>
      </c>
      <c r="K307" t="s">
        <v>2048</v>
      </c>
      <c r="L307" t="s">
        <v>1443</v>
      </c>
      <c r="M307" t="s">
        <v>1444</v>
      </c>
      <c r="N307">
        <v>20200</v>
      </c>
      <c r="O307" t="str">
        <f t="shared" si="71"/>
        <v>20200</v>
      </c>
      <c r="P307" t="str">
        <f t="shared" si="64"/>
        <v>1280 Massachusetts Avenue, Washington, DC, 20200</v>
      </c>
      <c r="Q307" t="s">
        <v>2049</v>
      </c>
      <c r="R307" t="str">
        <f t="shared" si="72"/>
        <v>DennisMWright</v>
      </c>
      <c r="S307" t="str">
        <f t="shared" si="73"/>
        <v>aol.com</v>
      </c>
      <c r="T307" t="str">
        <f t="shared" si="74"/>
        <v>aol</v>
      </c>
      <c r="U307" t="str">
        <f t="shared" si="75"/>
        <v>DennisMWright</v>
      </c>
      <c r="V307" t="s">
        <v>2050</v>
      </c>
      <c r="W307" t="str">
        <f t="shared" si="76"/>
        <v>202-</v>
      </c>
      <c r="X307" t="str">
        <f t="shared" si="77"/>
        <v>812</v>
      </c>
      <c r="Y307" t="str">
        <f t="shared" si="78"/>
        <v>-2226</v>
      </c>
      <c r="Z307" t="str">
        <f>SUBSTITUTE(V307,"-","|",2)</f>
        <v>202-812|2226</v>
      </c>
      <c r="AA307" t="str">
        <f>LEFT(V307,3)</f>
        <v>202</v>
      </c>
      <c r="AB307" t="str">
        <f>MID(V307,5,3)</f>
        <v>812</v>
      </c>
      <c r="AC307" t="str">
        <f>RIGHT(V307,4)</f>
        <v>2226</v>
      </c>
      <c r="AD307" s="3" t="s">
        <v>2051</v>
      </c>
      <c r="AE307" s="3" t="str">
        <f t="shared" si="79"/>
        <v>457</v>
      </c>
    </row>
    <row r="308" spans="1:31">
      <c r="A308" t="s">
        <v>923</v>
      </c>
      <c r="B308" t="str">
        <f t="shared" si="65"/>
        <v>Monte</v>
      </c>
      <c r="C308" t="s">
        <v>40</v>
      </c>
      <c r="D308" t="s">
        <v>142</v>
      </c>
      <c r="E308" t="str">
        <f t="shared" si="66"/>
        <v>Smith</v>
      </c>
      <c r="F308" t="str">
        <f t="shared" si="67"/>
        <v>MONTESMITH</v>
      </c>
      <c r="G308" t="str">
        <f t="shared" si="68"/>
        <v>MONTESMITH</v>
      </c>
      <c r="H308" t="str">
        <f t="shared" si="69"/>
        <v>MON SMITH</v>
      </c>
      <c r="I308" t="str">
        <f t="shared" si="70"/>
        <v>MON.S</v>
      </c>
      <c r="J308" t="s">
        <v>42</v>
      </c>
      <c r="K308" t="s">
        <v>2052</v>
      </c>
      <c r="L308" t="s">
        <v>768</v>
      </c>
      <c r="M308" t="s">
        <v>161</v>
      </c>
      <c r="N308">
        <v>48219</v>
      </c>
      <c r="O308" t="str">
        <f t="shared" si="71"/>
        <v>48219</v>
      </c>
      <c r="P308" t="str">
        <f t="shared" si="64"/>
        <v>404 Reppert Coal Road, Detroit, MI, 48219</v>
      </c>
      <c r="Q308" t="s">
        <v>2053</v>
      </c>
      <c r="R308" t="str">
        <f t="shared" si="72"/>
        <v>MonteSSmith</v>
      </c>
      <c r="S308" t="str">
        <f t="shared" si="73"/>
        <v>gmail.com</v>
      </c>
      <c r="T308" t="str">
        <f t="shared" si="74"/>
        <v>gmail</v>
      </c>
      <c r="U308" t="str">
        <f t="shared" si="75"/>
        <v>MonteSSmith</v>
      </c>
      <c r="V308" t="s">
        <v>2054</v>
      </c>
      <c r="W308" t="str">
        <f t="shared" si="76"/>
        <v>586-</v>
      </c>
      <c r="X308" t="str">
        <f t="shared" si="77"/>
        <v>912</v>
      </c>
      <c r="Y308" t="str">
        <f t="shared" si="78"/>
        <v>-1768</v>
      </c>
      <c r="Z308" t="str">
        <f>SUBSTITUTE(V308,"-","|",2)</f>
        <v>586-912|1768</v>
      </c>
      <c r="AA308" t="str">
        <f>LEFT(V308,3)</f>
        <v>586</v>
      </c>
      <c r="AB308" t="str">
        <f>MID(V308,5,3)</f>
        <v>912</v>
      </c>
      <c r="AC308" t="str">
        <f>RIGHT(V308,4)</f>
        <v>1768</v>
      </c>
      <c r="AD308" s="3" t="s">
        <v>2055</v>
      </c>
      <c r="AE308" s="3" t="str">
        <f t="shared" si="79"/>
        <v>1706</v>
      </c>
    </row>
    <row r="309" spans="1:31">
      <c r="A309" t="s">
        <v>772</v>
      </c>
      <c r="B309" t="str">
        <f t="shared" si="65"/>
        <v>Gloria</v>
      </c>
      <c r="C309" t="s">
        <v>30</v>
      </c>
      <c r="D309" t="s">
        <v>2056</v>
      </c>
      <c r="E309" t="str">
        <f t="shared" si="66"/>
        <v>Hurst</v>
      </c>
      <c r="F309" t="str">
        <f t="shared" si="67"/>
        <v>GLORIAHURST</v>
      </c>
      <c r="G309" t="str">
        <f t="shared" si="68"/>
        <v>GLORIAHURST</v>
      </c>
      <c r="H309" t="str">
        <f t="shared" si="69"/>
        <v>GLO HURST</v>
      </c>
      <c r="I309" t="str">
        <f t="shared" si="70"/>
        <v>GLO.H</v>
      </c>
      <c r="J309" t="s">
        <v>32</v>
      </c>
      <c r="K309" t="s">
        <v>2057</v>
      </c>
      <c r="L309" t="s">
        <v>2058</v>
      </c>
      <c r="M309" t="s">
        <v>200</v>
      </c>
      <c r="N309">
        <v>32801</v>
      </c>
      <c r="O309" t="str">
        <f t="shared" si="71"/>
        <v>32801</v>
      </c>
      <c r="P309" t="str">
        <f t="shared" si="64"/>
        <v>594 Red Hawk Road, Orlando, FL, 32801</v>
      </c>
      <c r="Q309" t="s">
        <v>2059</v>
      </c>
      <c r="R309" t="str">
        <f t="shared" si="72"/>
        <v>GloriaJHurst</v>
      </c>
      <c r="S309" t="str">
        <f t="shared" si="73"/>
        <v>hotmail.com</v>
      </c>
      <c r="T309" t="str">
        <f t="shared" si="74"/>
        <v>hotmail</v>
      </c>
      <c r="U309" t="str">
        <f t="shared" si="75"/>
        <v>GloriaJHurst</v>
      </c>
      <c r="V309" t="s">
        <v>2060</v>
      </c>
      <c r="W309" t="str">
        <f t="shared" si="76"/>
        <v>321-</v>
      </c>
      <c r="X309" t="str">
        <f t="shared" si="77"/>
        <v>204</v>
      </c>
      <c r="Y309" t="str">
        <f t="shared" si="78"/>
        <v>-3633</v>
      </c>
      <c r="Z309" t="str">
        <f>SUBSTITUTE(V309,"-","|",2)</f>
        <v>321-204|3633</v>
      </c>
      <c r="AA309" t="str">
        <f>LEFT(V309,3)</f>
        <v>321</v>
      </c>
      <c r="AB309" t="str">
        <f>MID(V309,5,3)</f>
        <v>204</v>
      </c>
      <c r="AC309" t="str">
        <f>RIGHT(V309,4)</f>
        <v>3633</v>
      </c>
      <c r="AD309" s="3" t="s">
        <v>2061</v>
      </c>
      <c r="AE309" s="3" t="str">
        <f t="shared" si="79"/>
        <v>3049</v>
      </c>
    </row>
    <row r="310" spans="1:31">
      <c r="A310" t="s">
        <v>1350</v>
      </c>
      <c r="B310" t="str">
        <f t="shared" si="65"/>
        <v>Joan</v>
      </c>
      <c r="C310" t="s">
        <v>297</v>
      </c>
      <c r="D310" t="s">
        <v>431</v>
      </c>
      <c r="E310" t="str">
        <f t="shared" si="66"/>
        <v>Williams</v>
      </c>
      <c r="F310" t="str">
        <f t="shared" si="67"/>
        <v>JOANWILLIAMS</v>
      </c>
      <c r="G310" t="str">
        <f t="shared" si="68"/>
        <v>JOANWILLIAMS</v>
      </c>
      <c r="H310" t="str">
        <f t="shared" si="69"/>
        <v>JOA WILLIAMS</v>
      </c>
      <c r="I310" t="str">
        <f t="shared" si="70"/>
        <v>JOA.W</v>
      </c>
      <c r="J310" t="s">
        <v>32</v>
      </c>
      <c r="K310" t="s">
        <v>2062</v>
      </c>
      <c r="L310" t="s">
        <v>192</v>
      </c>
      <c r="M310" t="s">
        <v>88</v>
      </c>
      <c r="N310">
        <v>77092</v>
      </c>
      <c r="O310" t="str">
        <f t="shared" si="71"/>
        <v>77092</v>
      </c>
      <c r="P310" t="str">
        <f t="shared" si="64"/>
        <v>1357 Mulberry Street, Houston, TX, 77092</v>
      </c>
      <c r="Q310" t="s">
        <v>2063</v>
      </c>
      <c r="R310" t="str">
        <f t="shared" si="72"/>
        <v>JoanTWilliams</v>
      </c>
      <c r="S310" t="str">
        <f t="shared" si="73"/>
        <v>hotmail.com</v>
      </c>
      <c r="T310" t="str">
        <f t="shared" si="74"/>
        <v>hotmail</v>
      </c>
      <c r="U310" t="str">
        <f t="shared" si="75"/>
        <v>JoanTWilliams</v>
      </c>
      <c r="V310" t="s">
        <v>2064</v>
      </c>
      <c r="W310" t="str">
        <f t="shared" si="76"/>
        <v>936-</v>
      </c>
      <c r="X310" t="str">
        <f t="shared" si="77"/>
        <v>629</v>
      </c>
      <c r="Y310" t="str">
        <f t="shared" si="78"/>
        <v>-0267</v>
      </c>
      <c r="Z310" t="str">
        <f>SUBSTITUTE(V310,"-","|",2)</f>
        <v>936-629|0267</v>
      </c>
      <c r="AA310" t="str">
        <f>LEFT(V310,3)</f>
        <v>936</v>
      </c>
      <c r="AB310" t="str">
        <f>MID(V310,5,3)</f>
        <v>629</v>
      </c>
      <c r="AC310" t="str">
        <f>RIGHT(V310,4)</f>
        <v>0267</v>
      </c>
      <c r="AD310" s="3" t="s">
        <v>2065</v>
      </c>
      <c r="AE310" s="3" t="str">
        <f t="shared" si="79"/>
        <v>8374</v>
      </c>
    </row>
    <row r="311" spans="1:31">
      <c r="A311" t="s">
        <v>2066</v>
      </c>
      <c r="B311" t="str">
        <f t="shared" si="65"/>
        <v>Alton</v>
      </c>
      <c r="C311" t="s">
        <v>30</v>
      </c>
      <c r="D311" t="s">
        <v>662</v>
      </c>
      <c r="E311" t="str">
        <f t="shared" si="66"/>
        <v>Harris</v>
      </c>
      <c r="F311" t="str">
        <f t="shared" si="67"/>
        <v>ALTONHARRIS</v>
      </c>
      <c r="G311" t="str">
        <f t="shared" si="68"/>
        <v>ALTONHARRIS</v>
      </c>
      <c r="H311" t="str">
        <f t="shared" si="69"/>
        <v>ALT HARRIS</v>
      </c>
      <c r="I311" t="str">
        <f t="shared" si="70"/>
        <v>ALT.H</v>
      </c>
      <c r="J311" t="s">
        <v>42</v>
      </c>
      <c r="K311" t="s">
        <v>2067</v>
      </c>
      <c r="L311" t="s">
        <v>192</v>
      </c>
      <c r="M311" t="s">
        <v>88</v>
      </c>
      <c r="N311">
        <v>77062</v>
      </c>
      <c r="O311" t="str">
        <f t="shared" si="71"/>
        <v>77062</v>
      </c>
      <c r="P311" t="str">
        <f t="shared" si="64"/>
        <v>2977 Grey Fox Farm Road, Houston, TX, 77062</v>
      </c>
      <c r="Q311" t="s">
        <v>2068</v>
      </c>
      <c r="R311" t="str">
        <f t="shared" si="72"/>
        <v>AltonJHarris</v>
      </c>
      <c r="S311" t="str">
        <f t="shared" si="73"/>
        <v>aol.com</v>
      </c>
      <c r="T311" t="str">
        <f t="shared" si="74"/>
        <v>aol</v>
      </c>
      <c r="U311" t="str">
        <f t="shared" si="75"/>
        <v>AltonJHarris</v>
      </c>
      <c r="V311" t="s">
        <v>2069</v>
      </c>
      <c r="W311" t="str">
        <f t="shared" si="76"/>
        <v>281-</v>
      </c>
      <c r="X311" t="str">
        <f t="shared" si="77"/>
        <v>792</v>
      </c>
      <c r="Y311" t="str">
        <f t="shared" si="78"/>
        <v>-2244</v>
      </c>
      <c r="Z311" t="str">
        <f>SUBSTITUTE(V311,"-","|",2)</f>
        <v>281-792|2244</v>
      </c>
      <c r="AA311" t="str">
        <f>LEFT(V311,3)</f>
        <v>281</v>
      </c>
      <c r="AB311" t="str">
        <f>MID(V311,5,3)</f>
        <v>792</v>
      </c>
      <c r="AC311" t="str">
        <f>RIGHT(V311,4)</f>
        <v>2244</v>
      </c>
      <c r="AD311" s="3" t="s">
        <v>2070</v>
      </c>
      <c r="AE311" s="3" t="str">
        <f t="shared" si="79"/>
        <v>381</v>
      </c>
    </row>
    <row r="312" spans="1:31">
      <c r="A312" t="s">
        <v>2071</v>
      </c>
      <c r="B312" t="str">
        <f t="shared" si="65"/>
        <v>Hazel</v>
      </c>
      <c r="C312" t="s">
        <v>30</v>
      </c>
      <c r="D312" t="s">
        <v>2072</v>
      </c>
      <c r="E312" t="str">
        <f t="shared" si="66"/>
        <v>Gleason</v>
      </c>
      <c r="F312" t="str">
        <f t="shared" si="67"/>
        <v>HAZELGLEASON</v>
      </c>
      <c r="G312" t="str">
        <f t="shared" si="68"/>
        <v>HAZELGLEASON</v>
      </c>
      <c r="H312" t="str">
        <f t="shared" si="69"/>
        <v>HAZ GLEASON</v>
      </c>
      <c r="I312" t="str">
        <f t="shared" si="70"/>
        <v>HAZ.G</v>
      </c>
      <c r="J312" t="s">
        <v>32</v>
      </c>
      <c r="K312" t="s">
        <v>2073</v>
      </c>
      <c r="L312" t="s">
        <v>2074</v>
      </c>
      <c r="M312" t="s">
        <v>369</v>
      </c>
      <c r="N312">
        <v>85282</v>
      </c>
      <c r="O312" t="str">
        <f t="shared" si="71"/>
        <v>85282</v>
      </c>
      <c r="P312" t="str">
        <f t="shared" si="64"/>
        <v>1064 Skips Lane, Tempe, AZ, 85282</v>
      </c>
      <c r="Q312" t="s">
        <v>2075</v>
      </c>
      <c r="R312" t="str">
        <f t="shared" si="72"/>
        <v>HazelJGleason</v>
      </c>
      <c r="S312" t="str">
        <f t="shared" si="73"/>
        <v>gmail.com</v>
      </c>
      <c r="T312" t="str">
        <f t="shared" si="74"/>
        <v>gmail</v>
      </c>
      <c r="U312" t="str">
        <f t="shared" si="75"/>
        <v>HazelJGleason</v>
      </c>
      <c r="V312" t="s">
        <v>2076</v>
      </c>
      <c r="W312" t="str">
        <f t="shared" si="76"/>
        <v>928-</v>
      </c>
      <c r="X312" t="str">
        <f t="shared" si="77"/>
        <v>550</v>
      </c>
      <c r="Y312" t="str">
        <f t="shared" si="78"/>
        <v>-9235</v>
      </c>
      <c r="Z312" t="str">
        <f>SUBSTITUTE(V312,"-","|",2)</f>
        <v>928-550|9235</v>
      </c>
      <c r="AA312" t="str">
        <f>LEFT(V312,3)</f>
        <v>928</v>
      </c>
      <c r="AB312" t="str">
        <f>MID(V312,5,3)</f>
        <v>550</v>
      </c>
      <c r="AC312" t="str">
        <f>RIGHT(V312,4)</f>
        <v>9235</v>
      </c>
      <c r="AD312" s="3" t="s">
        <v>2077</v>
      </c>
      <c r="AE312" s="3" t="str">
        <f t="shared" si="79"/>
        <v>2976</v>
      </c>
    </row>
    <row r="313" spans="1:31">
      <c r="A313" t="s">
        <v>915</v>
      </c>
      <c r="B313" t="str">
        <f t="shared" si="65"/>
        <v>Christopher</v>
      </c>
      <c r="C313" t="s">
        <v>132</v>
      </c>
      <c r="D313" t="s">
        <v>2078</v>
      </c>
      <c r="E313" t="str">
        <f t="shared" si="66"/>
        <v>Thames</v>
      </c>
      <c r="F313" t="str">
        <f t="shared" si="67"/>
        <v>CHRISTOPHERTHAMES</v>
      </c>
      <c r="G313" t="str">
        <f t="shared" si="68"/>
        <v>CHRISTOPHERTHAMES</v>
      </c>
      <c r="H313" t="str">
        <f t="shared" si="69"/>
        <v>CHR THAMES</v>
      </c>
      <c r="I313" t="str">
        <f t="shared" si="70"/>
        <v>CHR.T</v>
      </c>
      <c r="J313" t="s">
        <v>42</v>
      </c>
      <c r="K313" t="s">
        <v>2079</v>
      </c>
      <c r="L313" t="s">
        <v>1157</v>
      </c>
      <c r="M313" t="s">
        <v>104</v>
      </c>
      <c r="N313">
        <v>10007</v>
      </c>
      <c r="O313" t="str">
        <f t="shared" si="71"/>
        <v>10007</v>
      </c>
      <c r="P313" t="str">
        <f t="shared" si="64"/>
        <v>1883 Oakwood Avenue, New York, NY, 10007</v>
      </c>
      <c r="Q313" t="s">
        <v>2080</v>
      </c>
      <c r="R313" t="str">
        <f t="shared" si="72"/>
        <v>ChristopherRThames</v>
      </c>
      <c r="S313" t="str">
        <f t="shared" si="73"/>
        <v>hotmail.com</v>
      </c>
      <c r="T313" t="str">
        <f t="shared" si="74"/>
        <v>hotmail</v>
      </c>
      <c r="U313" t="str">
        <f t="shared" si="75"/>
        <v>ChristopherRThames</v>
      </c>
      <c r="V313" t="s">
        <v>2081</v>
      </c>
      <c r="W313" t="str">
        <f t="shared" si="76"/>
        <v>212-</v>
      </c>
      <c r="X313" t="str">
        <f t="shared" si="77"/>
        <v>646</v>
      </c>
      <c r="Y313" t="str">
        <f t="shared" si="78"/>
        <v>-6179</v>
      </c>
      <c r="Z313" t="str">
        <f>SUBSTITUTE(V313,"-","|",2)</f>
        <v>212-646|6179</v>
      </c>
      <c r="AA313" t="str">
        <f>LEFT(V313,3)</f>
        <v>212</v>
      </c>
      <c r="AB313" t="str">
        <f>MID(V313,5,3)</f>
        <v>646</v>
      </c>
      <c r="AC313" t="str">
        <f>RIGHT(V313,4)</f>
        <v>6179</v>
      </c>
      <c r="AD313" s="3" t="s">
        <v>2082</v>
      </c>
      <c r="AE313" s="3" t="str">
        <f t="shared" si="79"/>
        <v>393</v>
      </c>
    </row>
    <row r="314" spans="1:31">
      <c r="A314" t="s">
        <v>2083</v>
      </c>
      <c r="B314" t="str">
        <f t="shared" si="65"/>
        <v>Carl</v>
      </c>
      <c r="C314" t="s">
        <v>182</v>
      </c>
      <c r="D314" t="s">
        <v>1017</v>
      </c>
      <c r="E314" t="str">
        <f t="shared" si="66"/>
        <v>Green</v>
      </c>
      <c r="F314" t="str">
        <f t="shared" si="67"/>
        <v>CARLGREEN</v>
      </c>
      <c r="G314" t="str">
        <f t="shared" si="68"/>
        <v>CARLGREEN</v>
      </c>
      <c r="H314" t="str">
        <f t="shared" si="69"/>
        <v>CAR GREEN</v>
      </c>
      <c r="I314" t="str">
        <f t="shared" si="70"/>
        <v>CAR.G</v>
      </c>
      <c r="J314" t="s">
        <v>42</v>
      </c>
      <c r="K314" t="s">
        <v>2084</v>
      </c>
      <c r="L314" t="s">
        <v>2085</v>
      </c>
      <c r="M314" t="s">
        <v>104</v>
      </c>
      <c r="N314">
        <v>10301</v>
      </c>
      <c r="O314" t="str">
        <f t="shared" si="71"/>
        <v>10301</v>
      </c>
      <c r="P314" t="str">
        <f t="shared" si="64"/>
        <v>2972 Longview Avenue, Staten Island, NY, 10301</v>
      </c>
      <c r="Q314" t="s">
        <v>2086</v>
      </c>
      <c r="R314" t="str">
        <f t="shared" si="72"/>
        <v>CarlCGreen</v>
      </c>
      <c r="S314" t="str">
        <f t="shared" si="73"/>
        <v>gmail.com</v>
      </c>
      <c r="T314" t="str">
        <f t="shared" si="74"/>
        <v>gmail</v>
      </c>
      <c r="U314" t="str">
        <f t="shared" si="75"/>
        <v>CarlCGreen</v>
      </c>
      <c r="V314" t="s">
        <v>2087</v>
      </c>
      <c r="W314" t="str">
        <f t="shared" si="76"/>
        <v>718-</v>
      </c>
      <c r="X314" t="str">
        <f t="shared" si="77"/>
        <v>556</v>
      </c>
      <c r="Y314" t="str">
        <f t="shared" si="78"/>
        <v>-0176</v>
      </c>
      <c r="Z314" t="str">
        <f>SUBSTITUTE(V314,"-","|",2)</f>
        <v>718-556|0176</v>
      </c>
      <c r="AA314" t="str">
        <f>LEFT(V314,3)</f>
        <v>718</v>
      </c>
      <c r="AB314" t="str">
        <f>MID(V314,5,3)</f>
        <v>556</v>
      </c>
      <c r="AC314" t="str">
        <f>RIGHT(V314,4)</f>
        <v>0176</v>
      </c>
      <c r="AD314" s="3" t="s">
        <v>2088</v>
      </c>
      <c r="AE314" s="3" t="str">
        <f t="shared" si="79"/>
        <v>694</v>
      </c>
    </row>
    <row r="315" spans="1:31">
      <c r="A315" t="s">
        <v>2089</v>
      </c>
      <c r="B315" t="str">
        <f t="shared" si="65"/>
        <v>Hans</v>
      </c>
      <c r="C315" t="s">
        <v>30</v>
      </c>
      <c r="D315" t="s">
        <v>2090</v>
      </c>
      <c r="E315" t="str">
        <f t="shared" si="66"/>
        <v>Mcdaniel</v>
      </c>
      <c r="F315" t="str">
        <f t="shared" si="67"/>
        <v>HANSMCDANIEL</v>
      </c>
      <c r="G315" t="str">
        <f t="shared" si="68"/>
        <v>HANSMCDANIEL</v>
      </c>
      <c r="H315" t="str">
        <f t="shared" si="69"/>
        <v>HAN MCDANIEL</v>
      </c>
      <c r="I315" t="str">
        <f t="shared" si="70"/>
        <v>HAN.M</v>
      </c>
      <c r="J315" t="s">
        <v>42</v>
      </c>
      <c r="K315" t="s">
        <v>2091</v>
      </c>
      <c r="L315" t="s">
        <v>2092</v>
      </c>
      <c r="M315" t="s">
        <v>247</v>
      </c>
      <c r="N315">
        <v>30339</v>
      </c>
      <c r="O315" t="str">
        <f t="shared" si="71"/>
        <v>30339</v>
      </c>
      <c r="P315" t="str">
        <f t="shared" si="64"/>
        <v>3456 Pine Garden Lane, Atlanta, GA, 30339</v>
      </c>
      <c r="Q315" t="s">
        <v>2093</v>
      </c>
      <c r="R315" t="str">
        <f t="shared" si="72"/>
        <v>HansJMcDaniel</v>
      </c>
      <c r="S315" t="str">
        <f t="shared" si="73"/>
        <v>aol.com</v>
      </c>
      <c r="T315" t="str">
        <f t="shared" si="74"/>
        <v>aol</v>
      </c>
      <c r="U315" t="str">
        <f t="shared" si="75"/>
        <v>HansJMcDaniel</v>
      </c>
      <c r="V315" t="s">
        <v>2094</v>
      </c>
      <c r="W315" t="str">
        <f t="shared" si="76"/>
        <v>770-</v>
      </c>
      <c r="X315" t="str">
        <f t="shared" si="77"/>
        <v>681</v>
      </c>
      <c r="Y315" t="str">
        <f t="shared" si="78"/>
        <v>-2104</v>
      </c>
      <c r="Z315" t="str">
        <f>SUBSTITUTE(V315,"-","|",2)</f>
        <v>770-681|2104</v>
      </c>
      <c r="AA315" t="str">
        <f>LEFT(V315,3)</f>
        <v>770</v>
      </c>
      <c r="AB315" t="str">
        <f>MID(V315,5,3)</f>
        <v>681</v>
      </c>
      <c r="AC315" t="str">
        <f>RIGHT(V315,4)</f>
        <v>2104</v>
      </c>
      <c r="AD315" s="3" t="s">
        <v>2095</v>
      </c>
      <c r="AE315" s="3" t="str">
        <f t="shared" si="79"/>
        <v>9896</v>
      </c>
    </row>
    <row r="316" spans="1:31">
      <c r="A316" t="s">
        <v>2096</v>
      </c>
      <c r="B316" t="str">
        <f t="shared" si="65"/>
        <v>Ira</v>
      </c>
      <c r="C316" t="s">
        <v>40</v>
      </c>
      <c r="D316" t="s">
        <v>2097</v>
      </c>
      <c r="E316" t="str">
        <f t="shared" si="66"/>
        <v>Kocher</v>
      </c>
      <c r="F316" t="str">
        <f t="shared" si="67"/>
        <v>IRAKOCHER</v>
      </c>
      <c r="G316" t="str">
        <f t="shared" si="68"/>
        <v>IRAKOCHER</v>
      </c>
      <c r="H316" t="str">
        <f t="shared" si="69"/>
        <v>IRA KOCHER</v>
      </c>
      <c r="I316" t="str">
        <f t="shared" si="70"/>
        <v>IRA.K</v>
      </c>
      <c r="J316" t="s">
        <v>42</v>
      </c>
      <c r="K316" t="s">
        <v>2098</v>
      </c>
      <c r="L316" t="s">
        <v>2099</v>
      </c>
      <c r="M316" t="s">
        <v>62</v>
      </c>
      <c r="N316">
        <v>23324</v>
      </c>
      <c r="O316" t="str">
        <f t="shared" si="71"/>
        <v>23324</v>
      </c>
      <c r="P316" t="str">
        <f t="shared" si="64"/>
        <v>1092 Allison Avenue, Chesapeake, VA, 23324</v>
      </c>
      <c r="Q316" t="s">
        <v>2100</v>
      </c>
      <c r="R316" t="str">
        <f t="shared" si="72"/>
        <v>IraSKocher</v>
      </c>
      <c r="S316" t="str">
        <f t="shared" si="73"/>
        <v>gmail.com</v>
      </c>
      <c r="T316" t="str">
        <f t="shared" si="74"/>
        <v>gmail</v>
      </c>
      <c r="U316" t="str">
        <f t="shared" si="75"/>
        <v>IraSKocher</v>
      </c>
      <c r="V316" t="s">
        <v>2101</v>
      </c>
      <c r="W316" t="str">
        <f t="shared" si="76"/>
        <v>757-</v>
      </c>
      <c r="X316" t="str">
        <f t="shared" si="77"/>
        <v>645</v>
      </c>
      <c r="Y316" t="str">
        <f t="shared" si="78"/>
        <v>-6505</v>
      </c>
      <c r="Z316" t="str">
        <f>SUBSTITUTE(V316,"-","|",2)</f>
        <v>757-645|6505</v>
      </c>
      <c r="AA316" t="str">
        <f>LEFT(V316,3)</f>
        <v>757</v>
      </c>
      <c r="AB316" t="str">
        <f>MID(V316,5,3)</f>
        <v>645</v>
      </c>
      <c r="AC316" t="str">
        <f>RIGHT(V316,4)</f>
        <v>6505</v>
      </c>
      <c r="AD316" s="3" t="s">
        <v>2102</v>
      </c>
      <c r="AE316" s="3" t="str">
        <f t="shared" si="79"/>
        <v>457</v>
      </c>
    </row>
    <row r="317" spans="1:31">
      <c r="A317" t="s">
        <v>2103</v>
      </c>
      <c r="B317" t="str">
        <f t="shared" si="65"/>
        <v>Cory</v>
      </c>
      <c r="C317" t="s">
        <v>84</v>
      </c>
      <c r="D317" t="s">
        <v>1155</v>
      </c>
      <c r="E317" t="str">
        <f t="shared" si="66"/>
        <v>Jackson</v>
      </c>
      <c r="F317" t="str">
        <f t="shared" si="67"/>
        <v>CORYJACKSON</v>
      </c>
      <c r="G317" t="str">
        <f t="shared" si="68"/>
        <v>CORYJACKSON</v>
      </c>
      <c r="H317" t="str">
        <f t="shared" si="69"/>
        <v>COR JACKSON</v>
      </c>
      <c r="I317" t="str">
        <f t="shared" si="70"/>
        <v>COR.J</v>
      </c>
      <c r="J317" t="s">
        <v>42</v>
      </c>
      <c r="K317" t="s">
        <v>2104</v>
      </c>
      <c r="L317" t="s">
        <v>2105</v>
      </c>
      <c r="M317" t="s">
        <v>200</v>
      </c>
      <c r="N317">
        <v>32796</v>
      </c>
      <c r="O317" t="str">
        <f t="shared" si="71"/>
        <v>32796</v>
      </c>
      <c r="P317" t="str">
        <f t="shared" si="64"/>
        <v>1241 Terry Lane, Titusville, FL, 32796</v>
      </c>
      <c r="Q317" t="s">
        <v>2106</v>
      </c>
      <c r="R317" t="str">
        <f t="shared" si="72"/>
        <v>CoryKJackson</v>
      </c>
      <c r="S317" t="str">
        <f t="shared" si="73"/>
        <v>aol.com</v>
      </c>
      <c r="T317" t="str">
        <f t="shared" si="74"/>
        <v>aol</v>
      </c>
      <c r="U317" t="str">
        <f t="shared" si="75"/>
        <v>CoryKJackson</v>
      </c>
      <c r="V317" t="s">
        <v>2107</v>
      </c>
      <c r="W317" t="str">
        <f t="shared" si="76"/>
        <v>321-</v>
      </c>
      <c r="X317" t="str">
        <f t="shared" si="77"/>
        <v>268</v>
      </c>
      <c r="Y317" t="str">
        <f t="shared" si="78"/>
        <v>-3967</v>
      </c>
      <c r="Z317" t="str">
        <f>SUBSTITUTE(V317,"-","|",2)</f>
        <v>321-268|3967</v>
      </c>
      <c r="AA317" t="str">
        <f>LEFT(V317,3)</f>
        <v>321</v>
      </c>
      <c r="AB317" t="str">
        <f>MID(V317,5,3)</f>
        <v>268</v>
      </c>
      <c r="AC317" t="str">
        <f>RIGHT(V317,4)</f>
        <v>3967</v>
      </c>
      <c r="AD317" s="3" t="s">
        <v>2108</v>
      </c>
      <c r="AE317" s="3" t="str">
        <f t="shared" si="79"/>
        <v>5103</v>
      </c>
    </row>
    <row r="318" spans="1:31">
      <c r="A318" t="s">
        <v>2109</v>
      </c>
      <c r="B318" t="str">
        <f t="shared" si="65"/>
        <v>Cedric</v>
      </c>
      <c r="C318" t="s">
        <v>141</v>
      </c>
      <c r="D318" t="s">
        <v>344</v>
      </c>
      <c r="E318" t="str">
        <f t="shared" si="66"/>
        <v>Barnes</v>
      </c>
      <c r="F318" t="str">
        <f t="shared" si="67"/>
        <v>CEDRICBARNES</v>
      </c>
      <c r="G318" t="str">
        <f t="shared" si="68"/>
        <v>CEDRICBARNES</v>
      </c>
      <c r="H318" t="str">
        <f t="shared" si="69"/>
        <v>CED BARNES</v>
      </c>
      <c r="I318" t="str">
        <f t="shared" si="70"/>
        <v>CED.B</v>
      </c>
      <c r="J318" t="s">
        <v>42</v>
      </c>
      <c r="K318" t="s">
        <v>2110</v>
      </c>
      <c r="L318" t="s">
        <v>2111</v>
      </c>
      <c r="M318" t="s">
        <v>369</v>
      </c>
      <c r="N318">
        <v>86045</v>
      </c>
      <c r="O318" t="str">
        <f t="shared" si="71"/>
        <v>86045</v>
      </c>
      <c r="P318" t="str">
        <f t="shared" si="64"/>
        <v>3377 Clarksburg Park Road, Tuba City, AZ, 86045</v>
      </c>
      <c r="Q318" t="s">
        <v>2112</v>
      </c>
      <c r="R318" t="str">
        <f t="shared" si="72"/>
        <v>CedricEBarnes</v>
      </c>
      <c r="S318" t="str">
        <f t="shared" si="73"/>
        <v>hotmail.com</v>
      </c>
      <c r="T318" t="str">
        <f t="shared" si="74"/>
        <v>hotmail</v>
      </c>
      <c r="U318" t="str">
        <f t="shared" si="75"/>
        <v>CedricEBarnes</v>
      </c>
      <c r="V318" t="s">
        <v>2113</v>
      </c>
      <c r="W318" t="str">
        <f t="shared" si="76"/>
        <v>928-</v>
      </c>
      <c r="X318" t="str">
        <f t="shared" si="77"/>
        <v>283</v>
      </c>
      <c r="Y318" t="str">
        <f t="shared" si="78"/>
        <v>-4581</v>
      </c>
      <c r="Z318" t="str">
        <f>SUBSTITUTE(V318,"-","|",2)</f>
        <v>928-283|4581</v>
      </c>
      <c r="AA318" t="str">
        <f>LEFT(V318,3)</f>
        <v>928</v>
      </c>
      <c r="AB318" t="str">
        <f>MID(V318,5,3)</f>
        <v>283</v>
      </c>
      <c r="AC318" t="str">
        <f>RIGHT(V318,4)</f>
        <v>4581</v>
      </c>
      <c r="AD318" s="3" t="s">
        <v>2114</v>
      </c>
      <c r="AE318" s="3" t="str">
        <f t="shared" si="79"/>
        <v>3867</v>
      </c>
    </row>
    <row r="319" spans="1:31">
      <c r="A319" t="s">
        <v>342</v>
      </c>
      <c r="B319" t="str">
        <f t="shared" si="65"/>
        <v>George</v>
      </c>
      <c r="C319" t="s">
        <v>58</v>
      </c>
      <c r="D319" t="s">
        <v>2115</v>
      </c>
      <c r="E319" t="str">
        <f t="shared" si="66"/>
        <v>Evans</v>
      </c>
      <c r="F319" t="str">
        <f t="shared" si="67"/>
        <v>GEORGEEVANS</v>
      </c>
      <c r="G319" t="str">
        <f t="shared" si="68"/>
        <v>GEORGEEVANS</v>
      </c>
      <c r="H319" t="str">
        <f t="shared" si="69"/>
        <v>GEO EVANS</v>
      </c>
      <c r="I319" t="str">
        <f t="shared" si="70"/>
        <v>GEO.E</v>
      </c>
      <c r="J319" t="s">
        <v>42</v>
      </c>
      <c r="K319" t="s">
        <v>2116</v>
      </c>
      <c r="L319" t="s">
        <v>2117</v>
      </c>
      <c r="M319" t="s">
        <v>516</v>
      </c>
      <c r="N319">
        <v>47708</v>
      </c>
      <c r="O319" t="str">
        <f t="shared" si="71"/>
        <v>47708</v>
      </c>
      <c r="P319" t="str">
        <f t="shared" si="64"/>
        <v>3205 Lucy Lane, Evansville, IN, 47708</v>
      </c>
      <c r="Q319" t="s">
        <v>2118</v>
      </c>
      <c r="R319" t="str">
        <f t="shared" si="72"/>
        <v>GeorgeMEvans</v>
      </c>
      <c r="S319" t="str">
        <f t="shared" si="73"/>
        <v>gmail.com</v>
      </c>
      <c r="T319" t="str">
        <f t="shared" si="74"/>
        <v>gmail</v>
      </c>
      <c r="U319" t="str">
        <f t="shared" si="75"/>
        <v>GeorgeMEvans</v>
      </c>
      <c r="V319" t="s">
        <v>2119</v>
      </c>
      <c r="W319" t="str">
        <f t="shared" si="76"/>
        <v>812-</v>
      </c>
      <c r="X319" t="str">
        <f t="shared" si="77"/>
        <v>464</v>
      </c>
      <c r="Y319" t="str">
        <f t="shared" si="78"/>
        <v>-4262</v>
      </c>
      <c r="Z319" t="str">
        <f>SUBSTITUTE(V319,"-","|",2)</f>
        <v>812-464|4262</v>
      </c>
      <c r="AA319" t="str">
        <f>LEFT(V319,3)</f>
        <v>812</v>
      </c>
      <c r="AB319" t="str">
        <f>MID(V319,5,3)</f>
        <v>464</v>
      </c>
      <c r="AC319" t="str">
        <f>RIGHT(V319,4)</f>
        <v>4262</v>
      </c>
      <c r="AD319" s="3" t="s">
        <v>2120</v>
      </c>
      <c r="AE319" s="3" t="str">
        <f t="shared" si="79"/>
        <v>190</v>
      </c>
    </row>
    <row r="320" spans="1:31">
      <c r="A320" t="s">
        <v>2121</v>
      </c>
      <c r="B320" t="str">
        <f t="shared" si="65"/>
        <v>Lee</v>
      </c>
      <c r="C320" t="s">
        <v>182</v>
      </c>
      <c r="D320" t="s">
        <v>2122</v>
      </c>
      <c r="E320" t="str">
        <f t="shared" si="66"/>
        <v>Mcmeans</v>
      </c>
      <c r="F320" t="str">
        <f t="shared" si="67"/>
        <v>LEEMCMEANS</v>
      </c>
      <c r="G320" t="str">
        <f t="shared" si="68"/>
        <v>LEEMCMEANS</v>
      </c>
      <c r="H320" t="str">
        <f t="shared" si="69"/>
        <v>LEE MCMEANS</v>
      </c>
      <c r="I320" t="str">
        <f t="shared" si="70"/>
        <v>LEE.M</v>
      </c>
      <c r="J320" t="s">
        <v>42</v>
      </c>
      <c r="K320" t="s">
        <v>2123</v>
      </c>
      <c r="L320" t="s">
        <v>1842</v>
      </c>
      <c r="M320" t="s">
        <v>88</v>
      </c>
      <c r="N320">
        <v>78550</v>
      </c>
      <c r="O320" t="str">
        <f t="shared" si="71"/>
        <v>78550</v>
      </c>
      <c r="P320" t="str">
        <f t="shared" si="64"/>
        <v>4833 Jerome Avenue, Harlingen, TX, 78550</v>
      </c>
      <c r="Q320" t="s">
        <v>2124</v>
      </c>
      <c r="R320" t="str">
        <f t="shared" si="72"/>
        <v>LeeCMcMeans</v>
      </c>
      <c r="S320" t="str">
        <f t="shared" si="73"/>
        <v>gmail.com</v>
      </c>
      <c r="T320" t="str">
        <f t="shared" si="74"/>
        <v>gmail</v>
      </c>
      <c r="U320" t="str">
        <f t="shared" si="75"/>
        <v>LeeCMcMeans</v>
      </c>
      <c r="V320" t="s">
        <v>2125</v>
      </c>
      <c r="W320" t="str">
        <f t="shared" si="76"/>
        <v>956-</v>
      </c>
      <c r="X320" t="str">
        <f t="shared" si="77"/>
        <v>223</v>
      </c>
      <c r="Y320" t="str">
        <f t="shared" si="78"/>
        <v>-1990</v>
      </c>
      <c r="Z320" t="str">
        <f>SUBSTITUTE(V320,"-","|",2)</f>
        <v>956-223|1990</v>
      </c>
      <c r="AA320" t="str">
        <f>LEFT(V320,3)</f>
        <v>956</v>
      </c>
      <c r="AB320" t="str">
        <f>MID(V320,5,3)</f>
        <v>223</v>
      </c>
      <c r="AC320" t="str">
        <f>RIGHT(V320,4)</f>
        <v>1990</v>
      </c>
      <c r="AD320" s="3" t="s">
        <v>2126</v>
      </c>
      <c r="AE320" s="3" t="str">
        <f t="shared" si="79"/>
        <v>2259</v>
      </c>
    </row>
    <row r="321" spans="1:31">
      <c r="A321" t="s">
        <v>2127</v>
      </c>
      <c r="B321" t="str">
        <f t="shared" si="65"/>
        <v>Amy</v>
      </c>
      <c r="C321" t="s">
        <v>40</v>
      </c>
      <c r="D321" t="s">
        <v>2128</v>
      </c>
      <c r="E321" t="str">
        <f t="shared" si="66"/>
        <v>Rangel</v>
      </c>
      <c r="F321" t="str">
        <f t="shared" si="67"/>
        <v>AMYRANGEL</v>
      </c>
      <c r="G321" t="str">
        <f t="shared" si="68"/>
        <v>AMYRANGEL</v>
      </c>
      <c r="H321" t="str">
        <f t="shared" si="69"/>
        <v>AMY RANGEL</v>
      </c>
      <c r="I321" t="str">
        <f t="shared" si="70"/>
        <v>AMY.R</v>
      </c>
      <c r="J321" t="s">
        <v>32</v>
      </c>
      <c r="K321" t="s">
        <v>2129</v>
      </c>
      <c r="L321" t="s">
        <v>1157</v>
      </c>
      <c r="M321" t="s">
        <v>104</v>
      </c>
      <c r="N321">
        <v>10007</v>
      </c>
      <c r="O321" t="str">
        <f t="shared" si="71"/>
        <v>10007</v>
      </c>
      <c r="P321" t="str">
        <f t="shared" si="64"/>
        <v>950 Pallet Street, New York, NY, 10007</v>
      </c>
      <c r="Q321" t="s">
        <v>2130</v>
      </c>
      <c r="R321" t="str">
        <f t="shared" si="72"/>
        <v>AmySRangel</v>
      </c>
      <c r="S321" t="str">
        <f t="shared" si="73"/>
        <v>aol.com</v>
      </c>
      <c r="T321" t="str">
        <f t="shared" si="74"/>
        <v>aol</v>
      </c>
      <c r="U321" t="str">
        <f t="shared" si="75"/>
        <v>AmySRangel</v>
      </c>
      <c r="V321" t="s">
        <v>2131</v>
      </c>
      <c r="W321" t="str">
        <f t="shared" si="76"/>
        <v>914-</v>
      </c>
      <c r="X321" t="str">
        <f t="shared" si="77"/>
        <v>325</v>
      </c>
      <c r="Y321" t="str">
        <f t="shared" si="78"/>
        <v>-9356</v>
      </c>
      <c r="Z321" t="str">
        <f>SUBSTITUTE(V321,"-","|",2)</f>
        <v>914-325|9356</v>
      </c>
      <c r="AA321" t="str">
        <f>LEFT(V321,3)</f>
        <v>914</v>
      </c>
      <c r="AB321" t="str">
        <f>MID(V321,5,3)</f>
        <v>325</v>
      </c>
      <c r="AC321" t="str">
        <f>RIGHT(V321,4)</f>
        <v>9356</v>
      </c>
      <c r="AD321" s="3" t="s">
        <v>2132</v>
      </c>
      <c r="AE321" s="3" t="str">
        <f t="shared" si="79"/>
        <v>3249</v>
      </c>
    </row>
    <row r="322" spans="1:31">
      <c r="A322" t="s">
        <v>2133</v>
      </c>
      <c r="B322" t="str">
        <f t="shared" si="65"/>
        <v>Naomi</v>
      </c>
      <c r="C322" t="s">
        <v>132</v>
      </c>
      <c r="D322" t="s">
        <v>2134</v>
      </c>
      <c r="E322" t="str">
        <f t="shared" si="66"/>
        <v>Marshall</v>
      </c>
      <c r="F322" t="str">
        <f t="shared" si="67"/>
        <v>NAOMIMARSHALL</v>
      </c>
      <c r="G322" t="str">
        <f t="shared" si="68"/>
        <v>NAOMIMARSHALL</v>
      </c>
      <c r="H322" t="str">
        <f t="shared" si="69"/>
        <v>NAO MARSHALL</v>
      </c>
      <c r="I322" t="str">
        <f t="shared" si="70"/>
        <v>NAO.M</v>
      </c>
      <c r="J322" t="s">
        <v>32</v>
      </c>
      <c r="K322" t="s">
        <v>2135</v>
      </c>
      <c r="L322" t="s">
        <v>127</v>
      </c>
      <c r="M322" t="s">
        <v>88</v>
      </c>
      <c r="N322">
        <v>75234</v>
      </c>
      <c r="O322" t="str">
        <f t="shared" si="71"/>
        <v>75234</v>
      </c>
      <c r="P322" t="str">
        <f t="shared" ref="P322:P385" si="80">K322&amp;", "&amp;L322&amp;", "&amp;M322&amp;", "&amp;N322</f>
        <v>3957 Sycamore Circle, Dallas, TX, 75234</v>
      </c>
      <c r="Q322" t="s">
        <v>2136</v>
      </c>
      <c r="R322" t="str">
        <f t="shared" si="72"/>
        <v>NaomiRMarshall</v>
      </c>
      <c r="S322" t="str">
        <f t="shared" si="73"/>
        <v>hotmail.com</v>
      </c>
      <c r="T322" t="str">
        <f t="shared" si="74"/>
        <v>hotmail</v>
      </c>
      <c r="U322" t="str">
        <f t="shared" si="75"/>
        <v>NaomiRMarshall</v>
      </c>
      <c r="V322" t="s">
        <v>2137</v>
      </c>
      <c r="W322" t="str">
        <f t="shared" si="76"/>
        <v>682-</v>
      </c>
      <c r="X322" t="str">
        <f t="shared" si="77"/>
        <v>558</v>
      </c>
      <c r="Y322" t="str">
        <f t="shared" si="78"/>
        <v>-0129</v>
      </c>
      <c r="Z322" t="str">
        <f>SUBSTITUTE(V322,"-","|",2)</f>
        <v>682-558|0129</v>
      </c>
      <c r="AA322" t="str">
        <f>LEFT(V322,3)</f>
        <v>682</v>
      </c>
      <c r="AB322" t="str">
        <f>MID(V322,5,3)</f>
        <v>558</v>
      </c>
      <c r="AC322" t="str">
        <f>RIGHT(V322,4)</f>
        <v>0129</v>
      </c>
      <c r="AD322" s="3" t="s">
        <v>2138</v>
      </c>
      <c r="AE322" s="3" t="str">
        <f t="shared" si="79"/>
        <v>4460</v>
      </c>
    </row>
    <row r="323" spans="1:31">
      <c r="A323" t="s">
        <v>2139</v>
      </c>
      <c r="B323" t="str">
        <f t="shared" ref="B323:B386" si="81">TRIM(PROPER(A323))</f>
        <v>Nancy</v>
      </c>
      <c r="C323" t="s">
        <v>84</v>
      </c>
      <c r="D323" t="s">
        <v>2140</v>
      </c>
      <c r="E323" t="str">
        <f t="shared" ref="E323:E386" si="82">TRIM(PROPER(D323))</f>
        <v>Morris</v>
      </c>
      <c r="F323" t="str">
        <f t="shared" ref="F323:F386" si="83">A323&amp;""&amp;D323</f>
        <v>NANCYMORRIS</v>
      </c>
      <c r="G323" t="str">
        <f t="shared" ref="G323:G386" si="84">CONCATENATE(A323,D323)</f>
        <v>NANCYMORRIS</v>
      </c>
      <c r="H323" t="str">
        <f t="shared" ref="H323:H386" si="85">LEFT(A323,3)&amp;" "&amp;D323</f>
        <v>NAN MORRIS</v>
      </c>
      <c r="I323" t="str">
        <f t="shared" ref="I323:I386" si="86">LEFT(A323,3)&amp;"."&amp;LEFT(D323,1)</f>
        <v>NAN.M</v>
      </c>
      <c r="J323" t="s">
        <v>32</v>
      </c>
      <c r="K323" t="s">
        <v>2141</v>
      </c>
      <c r="L323" t="s">
        <v>2142</v>
      </c>
      <c r="M323" t="s">
        <v>35</v>
      </c>
      <c r="N323">
        <v>61109</v>
      </c>
      <c r="O323" t="str">
        <f t="shared" ref="O323:O386" si="87">IF(LEN(N323)=5,TEXT(N323,"#####"),IF(LEN(N323)=4,TEXT(N323,"0####")))</f>
        <v>61109</v>
      </c>
      <c r="P323" t="str">
        <f t="shared" si="80"/>
        <v>2631 Emeral Dreams Drive, Rockford, IL, 61109</v>
      </c>
      <c r="Q323" t="s">
        <v>2143</v>
      </c>
      <c r="R323" t="str">
        <f t="shared" ref="R323:R386" si="88">LEFT(Q323,SEARCH("@",Q323)-1)</f>
        <v>NancyKMorris</v>
      </c>
      <c r="S323" t="str">
        <f t="shared" ref="S323:S386" si="89">RIGHT(Q323,LEN(Q323)-SEARCH("@",Q323))</f>
        <v>aol.com</v>
      </c>
      <c r="T323" t="str">
        <f t="shared" ref="T323:T386" si="90">IF(ISNUMBER(SEARCH("gmail",Q323)),"gmail",IF(ISNUMBER(SEARCH("aol",Q323)),"aol",IF(ISNUMBER(SEARCH("hotmail",Q323)),"hotmail","other")))</f>
        <v>aol</v>
      </c>
      <c r="U323" t="str">
        <f t="shared" ref="U323:U386" si="91">LEFT(Q323,SEARCH("@",Q323)-1)</f>
        <v>NancyKMorris</v>
      </c>
      <c r="V323" t="s">
        <v>2144</v>
      </c>
      <c r="W323" t="str">
        <f t="shared" ref="W323:W386" si="92">LEFT(V323,4)</f>
        <v>815-</v>
      </c>
      <c r="X323" t="str">
        <f t="shared" ref="X323:X386" si="93">MID(V323,5,3)</f>
        <v>242</v>
      </c>
      <c r="Y323" t="str">
        <f t="shared" ref="Y323:Y386" si="94">RIGHT(V323,5)</f>
        <v>-9508</v>
      </c>
      <c r="Z323" t="str">
        <f>SUBSTITUTE(V323,"-","|",2)</f>
        <v>815-242|9508</v>
      </c>
      <c r="AA323" t="str">
        <f>LEFT(V323,3)</f>
        <v>815</v>
      </c>
      <c r="AB323" t="str">
        <f>MID(V323,5,3)</f>
        <v>242</v>
      </c>
      <c r="AC323" t="str">
        <f>RIGHT(V323,4)</f>
        <v>9508</v>
      </c>
      <c r="AD323" s="3" t="s">
        <v>2145</v>
      </c>
      <c r="AE323" s="3" t="str">
        <f t="shared" ref="AE323:AE386" si="95">RIGHT(AD323,LEN(AD323)-SEARCH("-",AD323))</f>
        <v>619</v>
      </c>
    </row>
    <row r="324" spans="1:31">
      <c r="A324" t="s">
        <v>1705</v>
      </c>
      <c r="B324" t="str">
        <f t="shared" si="81"/>
        <v>Randy</v>
      </c>
      <c r="C324" t="s">
        <v>124</v>
      </c>
      <c r="D324" t="s">
        <v>2146</v>
      </c>
      <c r="E324" t="str">
        <f t="shared" si="82"/>
        <v>Kuhlman</v>
      </c>
      <c r="F324" t="str">
        <f t="shared" si="83"/>
        <v>RANDYKUHLMAN</v>
      </c>
      <c r="G324" t="str">
        <f t="shared" si="84"/>
        <v>RANDYKUHLMAN</v>
      </c>
      <c r="H324" t="str">
        <f t="shared" si="85"/>
        <v>RAN KUHLMAN</v>
      </c>
      <c r="I324" t="str">
        <f t="shared" si="86"/>
        <v>RAN.K</v>
      </c>
      <c r="J324" t="s">
        <v>42</v>
      </c>
      <c r="K324" t="s">
        <v>2147</v>
      </c>
      <c r="L324" t="s">
        <v>2148</v>
      </c>
      <c r="M324" t="s">
        <v>45</v>
      </c>
      <c r="N324">
        <v>91744</v>
      </c>
      <c r="O324" t="str">
        <f t="shared" si="87"/>
        <v>91744</v>
      </c>
      <c r="P324" t="str">
        <f t="shared" si="80"/>
        <v>4493 Middleville Road, La Puente, CA, 91744</v>
      </c>
      <c r="Q324" t="s">
        <v>2149</v>
      </c>
      <c r="R324" t="str">
        <f t="shared" si="88"/>
        <v>RandyFKuhlman</v>
      </c>
      <c r="S324" t="str">
        <f t="shared" si="89"/>
        <v>hotmail.com</v>
      </c>
      <c r="T324" t="str">
        <f t="shared" si="90"/>
        <v>hotmail</v>
      </c>
      <c r="U324" t="str">
        <f t="shared" si="91"/>
        <v>RandyFKuhlman</v>
      </c>
      <c r="V324" t="s">
        <v>2150</v>
      </c>
      <c r="W324" t="str">
        <f t="shared" si="92"/>
        <v>626-</v>
      </c>
      <c r="X324" t="str">
        <f t="shared" si="93"/>
        <v>369</v>
      </c>
      <c r="Y324" t="str">
        <f t="shared" si="94"/>
        <v>-7009</v>
      </c>
      <c r="Z324" t="str">
        <f>SUBSTITUTE(V324,"-","|",2)</f>
        <v>626-369|7009</v>
      </c>
      <c r="AA324" t="str">
        <f>LEFT(V324,3)</f>
        <v>626</v>
      </c>
      <c r="AB324" t="str">
        <f>MID(V324,5,3)</f>
        <v>369</v>
      </c>
      <c r="AC324" t="str">
        <f>RIGHT(V324,4)</f>
        <v>7009</v>
      </c>
      <c r="AD324" s="3" t="s">
        <v>2151</v>
      </c>
      <c r="AE324" s="3" t="str">
        <f t="shared" si="95"/>
        <v>080</v>
      </c>
    </row>
    <row r="325" spans="1:31">
      <c r="A325" t="s">
        <v>1833</v>
      </c>
      <c r="B325" t="str">
        <f t="shared" si="81"/>
        <v>Helen</v>
      </c>
      <c r="C325" t="s">
        <v>67</v>
      </c>
      <c r="D325" t="s">
        <v>2152</v>
      </c>
      <c r="E325" t="str">
        <f t="shared" si="82"/>
        <v>Roush</v>
      </c>
      <c r="F325" t="str">
        <f t="shared" si="83"/>
        <v>HELENROUSH</v>
      </c>
      <c r="G325" t="str">
        <f t="shared" si="84"/>
        <v>HELENROUSH</v>
      </c>
      <c r="H325" t="str">
        <f t="shared" si="85"/>
        <v>HEL ROUSH</v>
      </c>
      <c r="I325" t="str">
        <f t="shared" si="86"/>
        <v>HEL.R</v>
      </c>
      <c r="J325" t="s">
        <v>32</v>
      </c>
      <c r="K325" t="s">
        <v>2153</v>
      </c>
      <c r="L325" t="s">
        <v>2154</v>
      </c>
      <c r="M325" t="s">
        <v>482</v>
      </c>
      <c r="N325">
        <v>73501</v>
      </c>
      <c r="O325" t="str">
        <f t="shared" si="87"/>
        <v>73501</v>
      </c>
      <c r="P325" t="str">
        <f t="shared" si="80"/>
        <v>2639 Dovetail Estates, Lawton, OK, 73501</v>
      </c>
      <c r="Q325" t="s">
        <v>2155</v>
      </c>
      <c r="R325" t="str">
        <f t="shared" si="88"/>
        <v>HelenDRoush</v>
      </c>
      <c r="S325" t="str">
        <f t="shared" si="89"/>
        <v>aol.com</v>
      </c>
      <c r="T325" t="str">
        <f t="shared" si="90"/>
        <v>aol</v>
      </c>
      <c r="U325" t="str">
        <f t="shared" si="91"/>
        <v>HelenDRoush</v>
      </c>
      <c r="V325" t="s">
        <v>2156</v>
      </c>
      <c r="W325" t="str">
        <f t="shared" si="92"/>
        <v>580-</v>
      </c>
      <c r="X325" t="str">
        <f t="shared" si="93"/>
        <v>917</v>
      </c>
      <c r="Y325" t="str">
        <f t="shared" si="94"/>
        <v>-4142</v>
      </c>
      <c r="Z325" t="str">
        <f>SUBSTITUTE(V325,"-","|",2)</f>
        <v>580-917|4142</v>
      </c>
      <c r="AA325" t="str">
        <f>LEFT(V325,3)</f>
        <v>580</v>
      </c>
      <c r="AB325" t="str">
        <f>MID(V325,5,3)</f>
        <v>917</v>
      </c>
      <c r="AC325" t="str">
        <f>RIGHT(V325,4)</f>
        <v>4142</v>
      </c>
      <c r="AD325" s="3" t="s">
        <v>2157</v>
      </c>
      <c r="AE325" s="3" t="str">
        <f t="shared" si="95"/>
        <v>0806</v>
      </c>
    </row>
    <row r="326" spans="1:31">
      <c r="A326" t="s">
        <v>654</v>
      </c>
      <c r="B326" t="str">
        <f t="shared" si="81"/>
        <v>Michael</v>
      </c>
      <c r="C326" t="s">
        <v>30</v>
      </c>
      <c r="D326" t="s">
        <v>2158</v>
      </c>
      <c r="E326" t="str">
        <f t="shared" si="82"/>
        <v>Wood</v>
      </c>
      <c r="F326" t="str">
        <f t="shared" si="83"/>
        <v>MICHAELWOOD</v>
      </c>
      <c r="G326" t="str">
        <f t="shared" si="84"/>
        <v>MICHAELWOOD</v>
      </c>
      <c r="H326" t="str">
        <f t="shared" si="85"/>
        <v>MIC WOOD</v>
      </c>
      <c r="I326" t="str">
        <f t="shared" si="86"/>
        <v>MIC.W</v>
      </c>
      <c r="J326" t="s">
        <v>42</v>
      </c>
      <c r="K326" t="s">
        <v>2159</v>
      </c>
      <c r="L326" t="s">
        <v>2160</v>
      </c>
      <c r="M326" t="s">
        <v>35</v>
      </c>
      <c r="N326">
        <v>60126</v>
      </c>
      <c r="O326" t="str">
        <f t="shared" si="87"/>
        <v>60126</v>
      </c>
      <c r="P326" t="str">
        <f t="shared" si="80"/>
        <v>2776 Patterson Fork Road, Elmhurst, IL, 60126</v>
      </c>
      <c r="Q326" t="s">
        <v>2161</v>
      </c>
      <c r="R326" t="str">
        <f t="shared" si="88"/>
        <v>MichaelJWood</v>
      </c>
      <c r="S326" t="str">
        <f t="shared" si="89"/>
        <v>gmail.com</v>
      </c>
      <c r="T326" t="str">
        <f t="shared" si="90"/>
        <v>gmail</v>
      </c>
      <c r="U326" t="str">
        <f t="shared" si="91"/>
        <v>MichaelJWood</v>
      </c>
      <c r="V326" t="s">
        <v>2162</v>
      </c>
      <c r="W326" t="str">
        <f t="shared" si="92"/>
        <v>312-</v>
      </c>
      <c r="X326" t="str">
        <f t="shared" si="93"/>
        <v>656</v>
      </c>
      <c r="Y326" t="str">
        <f t="shared" si="94"/>
        <v>-9476</v>
      </c>
      <c r="Z326" t="str">
        <f>SUBSTITUTE(V326,"-","|",2)</f>
        <v>312-656|9476</v>
      </c>
      <c r="AA326" t="str">
        <f>LEFT(V326,3)</f>
        <v>312</v>
      </c>
      <c r="AB326" t="str">
        <f>MID(V326,5,3)</f>
        <v>656</v>
      </c>
      <c r="AC326" t="str">
        <f>RIGHT(V326,4)</f>
        <v>9476</v>
      </c>
      <c r="AD326" s="3" t="s">
        <v>2163</v>
      </c>
      <c r="AE326" s="3" t="str">
        <f t="shared" si="95"/>
        <v>299</v>
      </c>
    </row>
    <row r="327" spans="1:31">
      <c r="A327" t="s">
        <v>358</v>
      </c>
      <c r="B327" t="str">
        <f t="shared" si="81"/>
        <v>Jennifer</v>
      </c>
      <c r="C327" t="s">
        <v>58</v>
      </c>
      <c r="D327" t="s">
        <v>2164</v>
      </c>
      <c r="E327" t="str">
        <f t="shared" si="82"/>
        <v>Jahnke</v>
      </c>
      <c r="F327" t="str">
        <f t="shared" si="83"/>
        <v>JENNIFERJAHNKE</v>
      </c>
      <c r="G327" t="str">
        <f t="shared" si="84"/>
        <v>JENNIFERJAHNKE</v>
      </c>
      <c r="H327" t="str">
        <f t="shared" si="85"/>
        <v>JEN JAHNKE</v>
      </c>
      <c r="I327" t="str">
        <f t="shared" si="86"/>
        <v>JEN.J</v>
      </c>
      <c r="J327" t="s">
        <v>32</v>
      </c>
      <c r="K327" t="s">
        <v>2165</v>
      </c>
      <c r="L327" t="s">
        <v>2166</v>
      </c>
      <c r="M327" t="s">
        <v>441</v>
      </c>
      <c r="N327">
        <v>80111</v>
      </c>
      <c r="O327" t="str">
        <f t="shared" si="87"/>
        <v>80111</v>
      </c>
      <c r="P327" t="str">
        <f t="shared" si="80"/>
        <v>1608 Davis Lane, Greenwood Village, CO, 80111</v>
      </c>
      <c r="Q327" t="s">
        <v>2167</v>
      </c>
      <c r="R327" t="str">
        <f t="shared" si="88"/>
        <v>JenniferMJahnke</v>
      </c>
      <c r="S327" t="str">
        <f t="shared" si="89"/>
        <v>gmail.com</v>
      </c>
      <c r="T327" t="str">
        <f t="shared" si="90"/>
        <v>gmail</v>
      </c>
      <c r="U327" t="str">
        <f t="shared" si="91"/>
        <v>JenniferMJahnke</v>
      </c>
      <c r="V327" t="s">
        <v>2168</v>
      </c>
      <c r="W327" t="str">
        <f t="shared" si="92"/>
        <v>720-</v>
      </c>
      <c r="X327" t="str">
        <f t="shared" si="93"/>
        <v>330</v>
      </c>
      <c r="Y327" t="str">
        <f t="shared" si="94"/>
        <v>-2061</v>
      </c>
      <c r="Z327" t="str">
        <f>SUBSTITUTE(V327,"-","|",2)</f>
        <v>720-330|2061</v>
      </c>
      <c r="AA327" t="str">
        <f>LEFT(V327,3)</f>
        <v>720</v>
      </c>
      <c r="AB327" t="str">
        <f>MID(V327,5,3)</f>
        <v>330</v>
      </c>
      <c r="AC327" t="str">
        <f>RIGHT(V327,4)</f>
        <v>2061</v>
      </c>
      <c r="AD327" s="3" t="s">
        <v>2169</v>
      </c>
      <c r="AE327" s="3" t="str">
        <f t="shared" si="95"/>
        <v>7080</v>
      </c>
    </row>
    <row r="328" spans="1:31">
      <c r="A328" t="s">
        <v>2170</v>
      </c>
      <c r="B328" t="str">
        <f t="shared" si="81"/>
        <v>Terri</v>
      </c>
      <c r="C328" t="s">
        <v>343</v>
      </c>
      <c r="D328" t="s">
        <v>2171</v>
      </c>
      <c r="E328" t="str">
        <f t="shared" si="82"/>
        <v>Ogrady</v>
      </c>
      <c r="F328" t="str">
        <f t="shared" si="83"/>
        <v>TERRIOGRADY</v>
      </c>
      <c r="G328" t="str">
        <f t="shared" si="84"/>
        <v>TERRIOGRADY</v>
      </c>
      <c r="H328" t="str">
        <f t="shared" si="85"/>
        <v>TER OGRADY</v>
      </c>
      <c r="I328" t="str">
        <f t="shared" si="86"/>
        <v>TER.O</v>
      </c>
      <c r="J328" t="s">
        <v>32</v>
      </c>
      <c r="K328" t="s">
        <v>2172</v>
      </c>
      <c r="L328" t="s">
        <v>2173</v>
      </c>
      <c r="M328" t="s">
        <v>1632</v>
      </c>
      <c r="N328">
        <v>6103</v>
      </c>
      <c r="O328" t="str">
        <f t="shared" si="87"/>
        <v>06103</v>
      </c>
      <c r="P328" t="str">
        <f t="shared" si="80"/>
        <v>2966 Meadow View Drive, Hartford, CT, 6103</v>
      </c>
      <c r="Q328" t="s">
        <v>2174</v>
      </c>
      <c r="R328" t="str">
        <f t="shared" si="88"/>
        <v>TerriLOgrady</v>
      </c>
      <c r="S328" t="str">
        <f t="shared" si="89"/>
        <v>hotmail.com</v>
      </c>
      <c r="T328" t="str">
        <f t="shared" si="90"/>
        <v>hotmail</v>
      </c>
      <c r="U328" t="str">
        <f t="shared" si="91"/>
        <v>TerriLOgrady</v>
      </c>
      <c r="V328" t="s">
        <v>2175</v>
      </c>
      <c r="W328" t="str">
        <f t="shared" si="92"/>
        <v>860-</v>
      </c>
      <c r="X328" t="str">
        <f t="shared" si="93"/>
        <v>473</v>
      </c>
      <c r="Y328" t="str">
        <f t="shared" si="94"/>
        <v>-6593</v>
      </c>
      <c r="Z328" t="str">
        <f>SUBSTITUTE(V328,"-","|",2)</f>
        <v>860-473|6593</v>
      </c>
      <c r="AA328" t="str">
        <f>LEFT(V328,3)</f>
        <v>860</v>
      </c>
      <c r="AB328" t="str">
        <f>MID(V328,5,3)</f>
        <v>473</v>
      </c>
      <c r="AC328" t="str">
        <f>RIGHT(V328,4)</f>
        <v>6593</v>
      </c>
      <c r="AD328" s="3" t="s">
        <v>2176</v>
      </c>
      <c r="AE328" s="3" t="str">
        <f t="shared" si="95"/>
        <v>8630</v>
      </c>
    </row>
    <row r="329" spans="1:31">
      <c r="A329" t="s">
        <v>821</v>
      </c>
      <c r="B329" t="str">
        <f t="shared" si="81"/>
        <v>Charles</v>
      </c>
      <c r="C329" t="s">
        <v>343</v>
      </c>
      <c r="D329" t="s">
        <v>2177</v>
      </c>
      <c r="E329" t="str">
        <f t="shared" si="82"/>
        <v>Talbot</v>
      </c>
      <c r="F329" t="str">
        <f t="shared" si="83"/>
        <v>CHARLESTALBOT</v>
      </c>
      <c r="G329" t="str">
        <f t="shared" si="84"/>
        <v>CHARLESTALBOT</v>
      </c>
      <c r="H329" t="str">
        <f t="shared" si="85"/>
        <v>CHA TALBOT</v>
      </c>
      <c r="I329" t="str">
        <f t="shared" si="86"/>
        <v>CHA.T</v>
      </c>
      <c r="J329" t="s">
        <v>42</v>
      </c>
      <c r="K329" t="s">
        <v>2178</v>
      </c>
      <c r="L329" t="s">
        <v>2179</v>
      </c>
      <c r="M329" t="s">
        <v>516</v>
      </c>
      <c r="N329">
        <v>46204</v>
      </c>
      <c r="O329" t="str">
        <f t="shared" si="87"/>
        <v>46204</v>
      </c>
      <c r="P329" t="str">
        <f t="shared" si="80"/>
        <v>414 Crestview Manor, Indianapolis, IN, 46204</v>
      </c>
      <c r="Q329" t="s">
        <v>2180</v>
      </c>
      <c r="R329" t="str">
        <f t="shared" si="88"/>
        <v>CharlesLTalbot</v>
      </c>
      <c r="S329" t="str">
        <f t="shared" si="89"/>
        <v>aol.com</v>
      </c>
      <c r="T329" t="str">
        <f t="shared" si="90"/>
        <v>aol</v>
      </c>
      <c r="U329" t="str">
        <f t="shared" si="91"/>
        <v>CharlesLTalbot</v>
      </c>
      <c r="V329" t="s">
        <v>2181</v>
      </c>
      <c r="W329" t="str">
        <f t="shared" si="92"/>
        <v>317-</v>
      </c>
      <c r="X329" t="str">
        <f t="shared" si="93"/>
        <v>239</v>
      </c>
      <c r="Y329" t="str">
        <f t="shared" si="94"/>
        <v>-9935</v>
      </c>
      <c r="Z329" t="str">
        <f>SUBSTITUTE(V329,"-","|",2)</f>
        <v>317-239|9935</v>
      </c>
      <c r="AA329" t="str">
        <f>LEFT(V329,3)</f>
        <v>317</v>
      </c>
      <c r="AB329" t="str">
        <f>MID(V329,5,3)</f>
        <v>239</v>
      </c>
      <c r="AC329" t="str">
        <f>RIGHT(V329,4)</f>
        <v>9935</v>
      </c>
      <c r="AD329" s="3" t="s">
        <v>2182</v>
      </c>
      <c r="AE329" s="3" t="str">
        <f t="shared" si="95"/>
        <v>508</v>
      </c>
    </row>
    <row r="330" spans="1:31">
      <c r="A330" t="s">
        <v>608</v>
      </c>
      <c r="B330" t="str">
        <f t="shared" si="81"/>
        <v>Christine</v>
      </c>
      <c r="C330" t="s">
        <v>261</v>
      </c>
      <c r="D330" t="s">
        <v>2183</v>
      </c>
      <c r="E330" t="str">
        <f t="shared" si="82"/>
        <v>Kelliher</v>
      </c>
      <c r="F330" t="str">
        <f t="shared" si="83"/>
        <v>CHRISTINEKELLIHER</v>
      </c>
      <c r="G330" t="str">
        <f t="shared" si="84"/>
        <v>CHRISTINEKELLIHER</v>
      </c>
      <c r="H330" t="str">
        <f t="shared" si="85"/>
        <v>CHR KELLIHER</v>
      </c>
      <c r="I330" t="str">
        <f t="shared" si="86"/>
        <v>CHR.K</v>
      </c>
      <c r="J330" t="s">
        <v>32</v>
      </c>
      <c r="K330" t="s">
        <v>2184</v>
      </c>
      <c r="L330" t="s">
        <v>2185</v>
      </c>
      <c r="M330" t="s">
        <v>53</v>
      </c>
      <c r="N330">
        <v>7662</v>
      </c>
      <c r="O330" t="str">
        <f t="shared" si="87"/>
        <v>07662</v>
      </c>
      <c r="P330" t="str">
        <f t="shared" si="80"/>
        <v>4185 Spring Haven Trail, Rochelle Park, NJ, 7662</v>
      </c>
      <c r="Q330" t="s">
        <v>2186</v>
      </c>
      <c r="R330" t="str">
        <f t="shared" si="88"/>
        <v>ChristineWKelliher</v>
      </c>
      <c r="S330" t="str">
        <f t="shared" si="89"/>
        <v>aol.com</v>
      </c>
      <c r="T330" t="str">
        <f t="shared" si="90"/>
        <v>aol</v>
      </c>
      <c r="U330" t="str">
        <f t="shared" si="91"/>
        <v>ChristineWKelliher</v>
      </c>
      <c r="V330" t="s">
        <v>2187</v>
      </c>
      <c r="W330" t="str">
        <f t="shared" si="92"/>
        <v>973-</v>
      </c>
      <c r="X330" t="str">
        <f t="shared" si="93"/>
        <v>727</v>
      </c>
      <c r="Y330" t="str">
        <f t="shared" si="94"/>
        <v>-8214</v>
      </c>
      <c r="Z330" t="str">
        <f>SUBSTITUTE(V330,"-","|",2)</f>
        <v>973-727|8214</v>
      </c>
      <c r="AA330" t="str">
        <f>LEFT(V330,3)</f>
        <v>973</v>
      </c>
      <c r="AB330" t="str">
        <f>MID(V330,5,3)</f>
        <v>727</v>
      </c>
      <c r="AC330" t="str">
        <f>RIGHT(V330,4)</f>
        <v>8214</v>
      </c>
      <c r="AD330" s="3" t="s">
        <v>2188</v>
      </c>
      <c r="AE330" s="3" t="str">
        <f t="shared" si="95"/>
        <v>7729</v>
      </c>
    </row>
    <row r="331" spans="1:31">
      <c r="A331" t="s">
        <v>2189</v>
      </c>
      <c r="B331" t="str">
        <f t="shared" si="81"/>
        <v>Sebastian</v>
      </c>
      <c r="C331" t="s">
        <v>141</v>
      </c>
      <c r="D331" t="s">
        <v>237</v>
      </c>
      <c r="E331" t="str">
        <f t="shared" si="82"/>
        <v>Taylor</v>
      </c>
      <c r="F331" t="str">
        <f t="shared" si="83"/>
        <v>SEBASTIANTAYLOR</v>
      </c>
      <c r="G331" t="str">
        <f t="shared" si="84"/>
        <v>SEBASTIANTAYLOR</v>
      </c>
      <c r="H331" t="str">
        <f t="shared" si="85"/>
        <v>SEB TAYLOR</v>
      </c>
      <c r="I331" t="str">
        <f t="shared" si="86"/>
        <v>SEB.T</v>
      </c>
      <c r="J331" t="s">
        <v>42</v>
      </c>
      <c r="K331" t="s">
        <v>2190</v>
      </c>
      <c r="L331" t="s">
        <v>185</v>
      </c>
      <c r="M331" t="s">
        <v>35</v>
      </c>
      <c r="N331">
        <v>60623</v>
      </c>
      <c r="O331" t="str">
        <f t="shared" si="87"/>
        <v>60623</v>
      </c>
      <c r="P331" t="str">
        <f t="shared" si="80"/>
        <v>4546 Cherry Camp Road, Chicago, IL, 60623</v>
      </c>
      <c r="Q331" t="s">
        <v>2191</v>
      </c>
      <c r="R331" t="str">
        <f t="shared" si="88"/>
        <v>SebastianETaylor</v>
      </c>
      <c r="S331" t="str">
        <f t="shared" si="89"/>
        <v>hotmail.com</v>
      </c>
      <c r="T331" t="str">
        <f t="shared" si="90"/>
        <v>hotmail</v>
      </c>
      <c r="U331" t="str">
        <f t="shared" si="91"/>
        <v>SebastianETaylor</v>
      </c>
      <c r="V331" t="s">
        <v>2192</v>
      </c>
      <c r="W331" t="str">
        <f t="shared" si="92"/>
        <v>773-</v>
      </c>
      <c r="X331" t="str">
        <f t="shared" si="93"/>
        <v>521</v>
      </c>
      <c r="Y331" t="str">
        <f t="shared" si="94"/>
        <v>-9276</v>
      </c>
      <c r="Z331" t="str">
        <f>SUBSTITUTE(V331,"-","|",2)</f>
        <v>773-521|9276</v>
      </c>
      <c r="AA331" t="str">
        <f>LEFT(V331,3)</f>
        <v>773</v>
      </c>
      <c r="AB331" t="str">
        <f>MID(V331,5,3)</f>
        <v>521</v>
      </c>
      <c r="AC331" t="str">
        <f>RIGHT(V331,4)</f>
        <v>9276</v>
      </c>
      <c r="AD331" s="3" t="s">
        <v>2193</v>
      </c>
      <c r="AE331" s="3" t="str">
        <f t="shared" si="95"/>
        <v>5708</v>
      </c>
    </row>
    <row r="332" spans="1:31">
      <c r="A332" t="s">
        <v>2194</v>
      </c>
      <c r="B332" t="str">
        <f t="shared" si="81"/>
        <v>Susie</v>
      </c>
      <c r="C332" t="s">
        <v>67</v>
      </c>
      <c r="D332" t="s">
        <v>2195</v>
      </c>
      <c r="E332" t="str">
        <f t="shared" si="82"/>
        <v>Robbins</v>
      </c>
      <c r="F332" t="str">
        <f t="shared" si="83"/>
        <v>SUSIEROBBINS</v>
      </c>
      <c r="G332" t="str">
        <f t="shared" si="84"/>
        <v>SUSIEROBBINS</v>
      </c>
      <c r="H332" t="str">
        <f t="shared" si="85"/>
        <v>SUS ROBBINS</v>
      </c>
      <c r="I332" t="str">
        <f t="shared" si="86"/>
        <v>SUS.R</v>
      </c>
      <c r="J332" t="s">
        <v>32</v>
      </c>
      <c r="K332" t="s">
        <v>2196</v>
      </c>
      <c r="L332" t="s">
        <v>2197</v>
      </c>
      <c r="M332" t="s">
        <v>79</v>
      </c>
      <c r="N332">
        <v>97401</v>
      </c>
      <c r="O332" t="str">
        <f t="shared" si="87"/>
        <v>97401</v>
      </c>
      <c r="P332" t="str">
        <f t="shared" si="80"/>
        <v>299 Brooklyn Street, Eugene, OR, 97401</v>
      </c>
      <c r="Q332" t="s">
        <v>2198</v>
      </c>
      <c r="R332" t="str">
        <f t="shared" si="88"/>
        <v>SusieDRobbins</v>
      </c>
      <c r="S332" t="str">
        <f t="shared" si="89"/>
        <v>hotmail.com</v>
      </c>
      <c r="T332" t="str">
        <f t="shared" si="90"/>
        <v>hotmail</v>
      </c>
      <c r="U332" t="str">
        <f t="shared" si="91"/>
        <v>SusieDRobbins</v>
      </c>
      <c r="V332" t="s">
        <v>2199</v>
      </c>
      <c r="W332" t="str">
        <f t="shared" si="92"/>
        <v>541-</v>
      </c>
      <c r="X332" t="str">
        <f t="shared" si="93"/>
        <v>236</v>
      </c>
      <c r="Y332" t="str">
        <f t="shared" si="94"/>
        <v>-2926</v>
      </c>
      <c r="Z332" t="str">
        <f>SUBSTITUTE(V332,"-","|",2)</f>
        <v>541-236|2926</v>
      </c>
      <c r="AA332" t="str">
        <f>LEFT(V332,3)</f>
        <v>541</v>
      </c>
      <c r="AB332" t="str">
        <f>MID(V332,5,3)</f>
        <v>236</v>
      </c>
      <c r="AC332" t="str">
        <f>RIGHT(V332,4)</f>
        <v>2926</v>
      </c>
      <c r="AD332" s="3" t="s">
        <v>2200</v>
      </c>
      <c r="AE332" s="3" t="str">
        <f t="shared" si="95"/>
        <v>9371</v>
      </c>
    </row>
    <row r="333" spans="1:31">
      <c r="A333" t="s">
        <v>615</v>
      </c>
      <c r="B333" t="str">
        <f t="shared" si="81"/>
        <v>Mary</v>
      </c>
      <c r="C333" t="s">
        <v>116</v>
      </c>
      <c r="D333" t="s">
        <v>2201</v>
      </c>
      <c r="E333" t="str">
        <f t="shared" si="82"/>
        <v>Champagne</v>
      </c>
      <c r="F333" t="str">
        <f t="shared" si="83"/>
        <v>MARYCHAMPAGNE</v>
      </c>
      <c r="G333" t="str">
        <f t="shared" si="84"/>
        <v>MARYCHAMPAGNE</v>
      </c>
      <c r="H333" t="str">
        <f t="shared" si="85"/>
        <v>MAR CHAMPAGNE</v>
      </c>
      <c r="I333" t="str">
        <f t="shared" si="86"/>
        <v>MAR.C</v>
      </c>
      <c r="J333" t="s">
        <v>32</v>
      </c>
      <c r="K333" t="s">
        <v>2202</v>
      </c>
      <c r="L333" t="s">
        <v>1853</v>
      </c>
      <c r="M333" t="s">
        <v>538</v>
      </c>
      <c r="N333">
        <v>19403</v>
      </c>
      <c r="O333" t="str">
        <f t="shared" si="87"/>
        <v>19403</v>
      </c>
      <c r="P333" t="str">
        <f t="shared" si="80"/>
        <v>1875 Renwick Drive, Norristown, PA, 19403</v>
      </c>
      <c r="Q333" t="s">
        <v>2203</v>
      </c>
      <c r="R333" t="str">
        <f t="shared" si="88"/>
        <v>MaryHChampagne</v>
      </c>
      <c r="S333" t="str">
        <f t="shared" si="89"/>
        <v>gmail.com</v>
      </c>
      <c r="T333" t="str">
        <f t="shared" si="90"/>
        <v>gmail</v>
      </c>
      <c r="U333" t="str">
        <f t="shared" si="91"/>
        <v>MaryHChampagne</v>
      </c>
      <c r="V333" t="s">
        <v>2204</v>
      </c>
      <c r="W333" t="str">
        <f t="shared" si="92"/>
        <v>484-</v>
      </c>
      <c r="X333" t="str">
        <f t="shared" si="93"/>
        <v>253</v>
      </c>
      <c r="Y333" t="str">
        <f t="shared" si="94"/>
        <v>-4348</v>
      </c>
      <c r="Z333" t="str">
        <f>SUBSTITUTE(V333,"-","|",2)</f>
        <v>484-253|4348</v>
      </c>
      <c r="AA333" t="str">
        <f>LEFT(V333,3)</f>
        <v>484</v>
      </c>
      <c r="AB333" t="str">
        <f>MID(V333,5,3)</f>
        <v>253</v>
      </c>
      <c r="AC333" t="str">
        <f>RIGHT(V333,4)</f>
        <v>4348</v>
      </c>
      <c r="AD333" s="3" t="s">
        <v>2205</v>
      </c>
      <c r="AE333" s="3" t="str">
        <f t="shared" si="95"/>
        <v>0069</v>
      </c>
    </row>
    <row r="334" spans="1:31">
      <c r="A334" t="s">
        <v>727</v>
      </c>
      <c r="B334" t="str">
        <f t="shared" si="81"/>
        <v>Katrina</v>
      </c>
      <c r="C334" t="s">
        <v>182</v>
      </c>
      <c r="D334" t="s">
        <v>1382</v>
      </c>
      <c r="E334" t="str">
        <f t="shared" si="82"/>
        <v>Ramirez</v>
      </c>
      <c r="F334" t="str">
        <f t="shared" si="83"/>
        <v>KATRINARAMIREZ</v>
      </c>
      <c r="G334" t="str">
        <f t="shared" si="84"/>
        <v>KATRINARAMIREZ</v>
      </c>
      <c r="H334" t="str">
        <f t="shared" si="85"/>
        <v>KAT RAMIREZ</v>
      </c>
      <c r="I334" t="str">
        <f t="shared" si="86"/>
        <v>KAT.R</v>
      </c>
      <c r="J334" t="s">
        <v>32</v>
      </c>
      <c r="K334" t="s">
        <v>2206</v>
      </c>
      <c r="L334" t="s">
        <v>1209</v>
      </c>
      <c r="M334" t="s">
        <v>200</v>
      </c>
      <c r="N334">
        <v>33176</v>
      </c>
      <c r="O334" t="str">
        <f t="shared" si="87"/>
        <v>33176</v>
      </c>
      <c r="P334" t="str">
        <f t="shared" si="80"/>
        <v>703 Tyler Avenue, Miami, FL, 33176</v>
      </c>
      <c r="Q334" t="s">
        <v>2207</v>
      </c>
      <c r="R334" t="str">
        <f t="shared" si="88"/>
        <v>KatrinaCRamirez</v>
      </c>
      <c r="S334" t="str">
        <f t="shared" si="89"/>
        <v>aol.com</v>
      </c>
      <c r="T334" t="str">
        <f t="shared" si="90"/>
        <v>aol</v>
      </c>
      <c r="U334" t="str">
        <f t="shared" si="91"/>
        <v>KatrinaCRamirez</v>
      </c>
      <c r="V334" t="s">
        <v>2208</v>
      </c>
      <c r="W334" t="str">
        <f t="shared" si="92"/>
        <v>305-</v>
      </c>
      <c r="X334" t="str">
        <f t="shared" si="93"/>
        <v>275</v>
      </c>
      <c r="Y334" t="str">
        <f t="shared" si="94"/>
        <v>-4698</v>
      </c>
      <c r="Z334" t="str">
        <f>SUBSTITUTE(V334,"-","|",2)</f>
        <v>305-275|4698</v>
      </c>
      <c r="AA334" t="str">
        <f>LEFT(V334,3)</f>
        <v>305</v>
      </c>
      <c r="AB334" t="str">
        <f>MID(V334,5,3)</f>
        <v>275</v>
      </c>
      <c r="AC334" t="str">
        <f>RIGHT(V334,4)</f>
        <v>4698</v>
      </c>
      <c r="AD334" s="3" t="s">
        <v>2209</v>
      </c>
      <c r="AE334" s="3" t="str">
        <f t="shared" si="95"/>
        <v>492</v>
      </c>
    </row>
    <row r="335" spans="1:31">
      <c r="A335" t="s">
        <v>2210</v>
      </c>
      <c r="B335" t="str">
        <f t="shared" si="81"/>
        <v>Rebecca</v>
      </c>
      <c r="C335" t="s">
        <v>58</v>
      </c>
      <c r="D335" t="s">
        <v>2211</v>
      </c>
      <c r="E335" t="str">
        <f t="shared" si="82"/>
        <v>Lamoreaux</v>
      </c>
      <c r="F335" t="str">
        <f t="shared" si="83"/>
        <v>REBECCALAMOREAUX</v>
      </c>
      <c r="G335" t="str">
        <f t="shared" si="84"/>
        <v>REBECCALAMOREAUX</v>
      </c>
      <c r="H335" t="str">
        <f t="shared" si="85"/>
        <v>REB LAMOREAUX</v>
      </c>
      <c r="I335" t="str">
        <f t="shared" si="86"/>
        <v>REB.L</v>
      </c>
      <c r="J335" t="s">
        <v>32</v>
      </c>
      <c r="K335" t="s">
        <v>2212</v>
      </c>
      <c r="L335" t="s">
        <v>2213</v>
      </c>
      <c r="M335" t="s">
        <v>347</v>
      </c>
      <c r="N335">
        <v>63141</v>
      </c>
      <c r="O335" t="str">
        <f t="shared" si="87"/>
        <v>63141</v>
      </c>
      <c r="P335" t="str">
        <f t="shared" si="80"/>
        <v>249 Court Street, Maryland Heights, MO, 63141</v>
      </c>
      <c r="Q335" t="s">
        <v>2214</v>
      </c>
      <c r="R335" t="str">
        <f t="shared" si="88"/>
        <v>RebeccaMLamoreaux</v>
      </c>
      <c r="S335" t="str">
        <f t="shared" si="89"/>
        <v>gmail.com</v>
      </c>
      <c r="T335" t="str">
        <f t="shared" si="90"/>
        <v>gmail</v>
      </c>
      <c r="U335" t="str">
        <f t="shared" si="91"/>
        <v>RebeccaMLamoreaux</v>
      </c>
      <c r="V335" t="s">
        <v>2215</v>
      </c>
      <c r="W335" t="str">
        <f t="shared" si="92"/>
        <v>636-</v>
      </c>
      <c r="X335" t="str">
        <f t="shared" si="93"/>
        <v>794</v>
      </c>
      <c r="Y335" t="str">
        <f t="shared" si="94"/>
        <v>-2632</v>
      </c>
      <c r="Z335" t="str">
        <f>SUBSTITUTE(V335,"-","|",2)</f>
        <v>636-794|2632</v>
      </c>
      <c r="AA335" t="str">
        <f>LEFT(V335,3)</f>
        <v>636</v>
      </c>
      <c r="AB335" t="str">
        <f>MID(V335,5,3)</f>
        <v>794</v>
      </c>
      <c r="AC335" t="str">
        <f>RIGHT(V335,4)</f>
        <v>2632</v>
      </c>
      <c r="AD335" s="3" t="s">
        <v>2216</v>
      </c>
      <c r="AE335" s="3" t="str">
        <f t="shared" si="95"/>
        <v>0156</v>
      </c>
    </row>
    <row r="336" spans="1:31">
      <c r="A336" t="s">
        <v>2217</v>
      </c>
      <c r="B336" t="str">
        <f t="shared" si="81"/>
        <v>Glenn</v>
      </c>
      <c r="C336" t="s">
        <v>343</v>
      </c>
      <c r="D336" t="s">
        <v>2218</v>
      </c>
      <c r="E336" t="str">
        <f t="shared" si="82"/>
        <v>Sharp</v>
      </c>
      <c r="F336" t="str">
        <f t="shared" si="83"/>
        <v>GLENNSHARP</v>
      </c>
      <c r="G336" t="str">
        <f t="shared" si="84"/>
        <v>GLENNSHARP</v>
      </c>
      <c r="H336" t="str">
        <f t="shared" si="85"/>
        <v>GLE SHARP</v>
      </c>
      <c r="I336" t="str">
        <f t="shared" si="86"/>
        <v>GLE.S</v>
      </c>
      <c r="J336" t="s">
        <v>42</v>
      </c>
      <c r="K336" t="s">
        <v>2219</v>
      </c>
      <c r="L336" t="s">
        <v>2220</v>
      </c>
      <c r="M336" t="s">
        <v>208</v>
      </c>
      <c r="N336">
        <v>68801</v>
      </c>
      <c r="O336" t="str">
        <f t="shared" si="87"/>
        <v>68801</v>
      </c>
      <c r="P336" t="str">
        <f t="shared" si="80"/>
        <v>825 North Avenue, Grand Island, NE, 68801</v>
      </c>
      <c r="Q336" t="s">
        <v>2221</v>
      </c>
      <c r="R336" t="str">
        <f t="shared" si="88"/>
        <v>GlennLSharp</v>
      </c>
      <c r="S336" t="str">
        <f t="shared" si="89"/>
        <v>hotmail.com</v>
      </c>
      <c r="T336" t="str">
        <f t="shared" si="90"/>
        <v>hotmail</v>
      </c>
      <c r="U336" t="str">
        <f t="shared" si="91"/>
        <v>GlennLSharp</v>
      </c>
      <c r="V336" t="s">
        <v>2222</v>
      </c>
      <c r="W336" t="str">
        <f t="shared" si="92"/>
        <v>402-</v>
      </c>
      <c r="X336" t="str">
        <f t="shared" si="93"/>
        <v>851</v>
      </c>
      <c r="Y336" t="str">
        <f t="shared" si="94"/>
        <v>-3045</v>
      </c>
      <c r="Z336" t="str">
        <f>SUBSTITUTE(V336,"-","|",2)</f>
        <v>402-851|3045</v>
      </c>
      <c r="AA336" t="str">
        <f>LEFT(V336,3)</f>
        <v>402</v>
      </c>
      <c r="AB336" t="str">
        <f>MID(V336,5,3)</f>
        <v>851</v>
      </c>
      <c r="AC336" t="str">
        <f>RIGHT(V336,4)</f>
        <v>3045</v>
      </c>
      <c r="AD336" s="3" t="s">
        <v>2223</v>
      </c>
      <c r="AE336" s="3" t="str">
        <f t="shared" si="95"/>
        <v>054</v>
      </c>
    </row>
    <row r="337" spans="1:31">
      <c r="A337" t="s">
        <v>2224</v>
      </c>
      <c r="B337" t="str">
        <f t="shared" si="81"/>
        <v>Daren</v>
      </c>
      <c r="C337" t="s">
        <v>343</v>
      </c>
      <c r="D337" t="s">
        <v>2225</v>
      </c>
      <c r="E337" t="str">
        <f t="shared" si="82"/>
        <v>Jacobs</v>
      </c>
      <c r="F337" t="str">
        <f t="shared" si="83"/>
        <v>DARENJACOBS</v>
      </c>
      <c r="G337" t="str">
        <f t="shared" si="84"/>
        <v>DARENJACOBS</v>
      </c>
      <c r="H337" t="str">
        <f t="shared" si="85"/>
        <v>DAR JACOBS</v>
      </c>
      <c r="I337" t="str">
        <f t="shared" si="86"/>
        <v>DAR.J</v>
      </c>
      <c r="J337" t="s">
        <v>42</v>
      </c>
      <c r="K337" t="s">
        <v>2226</v>
      </c>
      <c r="L337" t="s">
        <v>2227</v>
      </c>
      <c r="M337" t="s">
        <v>1632</v>
      </c>
      <c r="N337">
        <v>10573</v>
      </c>
      <c r="O337" t="str">
        <f t="shared" si="87"/>
        <v>10573</v>
      </c>
      <c r="P337" t="str">
        <f t="shared" si="80"/>
        <v>3276 Cook Hill Road, Port Chester, CT, 10573</v>
      </c>
      <c r="Q337" t="s">
        <v>2228</v>
      </c>
      <c r="R337" t="str">
        <f t="shared" si="88"/>
        <v>DarenLJacobs</v>
      </c>
      <c r="S337" t="str">
        <f t="shared" si="89"/>
        <v>aol.com</v>
      </c>
      <c r="T337" t="str">
        <f t="shared" si="90"/>
        <v>aol</v>
      </c>
      <c r="U337" t="str">
        <f t="shared" si="91"/>
        <v>DarenLJacobs</v>
      </c>
      <c r="V337" t="s">
        <v>2229</v>
      </c>
      <c r="W337" t="str">
        <f t="shared" si="92"/>
        <v>203-</v>
      </c>
      <c r="X337" t="str">
        <f t="shared" si="93"/>
        <v>531</v>
      </c>
      <c r="Y337" t="str">
        <f t="shared" si="94"/>
        <v>-9965</v>
      </c>
      <c r="Z337" t="str">
        <f>SUBSTITUTE(V337,"-","|",2)</f>
        <v>203-531|9965</v>
      </c>
      <c r="AA337" t="str">
        <f>LEFT(V337,3)</f>
        <v>203</v>
      </c>
      <c r="AB337" t="str">
        <f>MID(V337,5,3)</f>
        <v>531</v>
      </c>
      <c r="AC337" t="str">
        <f>RIGHT(V337,4)</f>
        <v>9965</v>
      </c>
      <c r="AD337" s="3" t="s">
        <v>2230</v>
      </c>
      <c r="AE337" s="3" t="str">
        <f t="shared" si="95"/>
        <v>399</v>
      </c>
    </row>
    <row r="338" spans="1:31">
      <c r="A338" t="s">
        <v>2231</v>
      </c>
      <c r="B338" t="str">
        <f t="shared" si="81"/>
        <v>Rebekah</v>
      </c>
      <c r="C338" t="s">
        <v>132</v>
      </c>
      <c r="D338" t="s">
        <v>2232</v>
      </c>
      <c r="E338" t="str">
        <f t="shared" si="82"/>
        <v>Sparling</v>
      </c>
      <c r="F338" t="str">
        <f t="shared" si="83"/>
        <v>REBEKAHSPARLING</v>
      </c>
      <c r="G338" t="str">
        <f t="shared" si="84"/>
        <v>REBEKAHSPARLING</v>
      </c>
      <c r="H338" t="str">
        <f t="shared" si="85"/>
        <v>REB SPARLING</v>
      </c>
      <c r="I338" t="str">
        <f t="shared" si="86"/>
        <v>REB.S</v>
      </c>
      <c r="J338" t="s">
        <v>32</v>
      </c>
      <c r="K338" t="s">
        <v>2233</v>
      </c>
      <c r="L338" t="s">
        <v>523</v>
      </c>
      <c r="M338" t="s">
        <v>53</v>
      </c>
      <c r="N338">
        <v>8102</v>
      </c>
      <c r="O338" t="str">
        <f t="shared" si="87"/>
        <v>08102</v>
      </c>
      <c r="P338" t="str">
        <f t="shared" si="80"/>
        <v>4338 Dark Hollow Road, Camden, NJ, 8102</v>
      </c>
      <c r="Q338" t="s">
        <v>2234</v>
      </c>
      <c r="R338" t="str">
        <f t="shared" si="88"/>
        <v>RebekahRSparling</v>
      </c>
      <c r="S338" t="str">
        <f t="shared" si="89"/>
        <v>aol.com</v>
      </c>
      <c r="T338" t="str">
        <f t="shared" si="90"/>
        <v>aol</v>
      </c>
      <c r="U338" t="str">
        <f t="shared" si="91"/>
        <v>RebekahRSparling</v>
      </c>
      <c r="V338" t="s">
        <v>2235</v>
      </c>
      <c r="W338" t="str">
        <f t="shared" si="92"/>
        <v>609-</v>
      </c>
      <c r="X338" t="str">
        <f t="shared" si="93"/>
        <v>235</v>
      </c>
      <c r="Y338" t="str">
        <f t="shared" si="94"/>
        <v>-2740</v>
      </c>
      <c r="Z338" t="str">
        <f>SUBSTITUTE(V338,"-","|",2)</f>
        <v>609-235|2740</v>
      </c>
      <c r="AA338" t="str">
        <f>LEFT(V338,3)</f>
        <v>609</v>
      </c>
      <c r="AB338" t="str">
        <f>MID(V338,5,3)</f>
        <v>235</v>
      </c>
      <c r="AC338" t="str">
        <f>RIGHT(V338,4)</f>
        <v>2740</v>
      </c>
      <c r="AD338" s="3" t="s">
        <v>2236</v>
      </c>
      <c r="AE338" s="3" t="str">
        <f t="shared" si="95"/>
        <v>291</v>
      </c>
    </row>
    <row r="339" spans="1:31">
      <c r="A339" t="s">
        <v>2237</v>
      </c>
      <c r="B339" t="str">
        <f t="shared" si="81"/>
        <v>Irene</v>
      </c>
      <c r="C339" t="s">
        <v>365</v>
      </c>
      <c r="D339" t="s">
        <v>1017</v>
      </c>
      <c r="E339" t="str">
        <f t="shared" si="82"/>
        <v>Green</v>
      </c>
      <c r="F339" t="str">
        <f t="shared" si="83"/>
        <v>IRENEGREEN</v>
      </c>
      <c r="G339" t="str">
        <f t="shared" si="84"/>
        <v>IRENEGREEN</v>
      </c>
      <c r="H339" t="str">
        <f t="shared" si="85"/>
        <v>IRE GREEN</v>
      </c>
      <c r="I339" t="str">
        <f t="shared" si="86"/>
        <v>IRE.G</v>
      </c>
      <c r="J339" t="s">
        <v>32</v>
      </c>
      <c r="K339" t="s">
        <v>2238</v>
      </c>
      <c r="L339" t="s">
        <v>2239</v>
      </c>
      <c r="M339" t="s">
        <v>88</v>
      </c>
      <c r="N339">
        <v>74135</v>
      </c>
      <c r="O339" t="str">
        <f t="shared" si="87"/>
        <v>74135</v>
      </c>
      <c r="P339" t="str">
        <f t="shared" si="80"/>
        <v>3547 Morris Street, Pleasanton, TX, 74135</v>
      </c>
      <c r="Q339" t="s">
        <v>2240</v>
      </c>
      <c r="R339" t="str">
        <f t="shared" si="88"/>
        <v>IreneGGreen</v>
      </c>
      <c r="S339" t="str">
        <f t="shared" si="89"/>
        <v>gmail.com</v>
      </c>
      <c r="T339" t="str">
        <f t="shared" si="90"/>
        <v>gmail</v>
      </c>
      <c r="U339" t="str">
        <f t="shared" si="91"/>
        <v>IreneGGreen</v>
      </c>
      <c r="V339" t="s">
        <v>2241</v>
      </c>
      <c r="W339" t="str">
        <f t="shared" si="92"/>
        <v>830-</v>
      </c>
      <c r="X339" t="str">
        <f t="shared" si="93"/>
        <v>275</v>
      </c>
      <c r="Y339" t="str">
        <f t="shared" si="94"/>
        <v>-3683</v>
      </c>
      <c r="Z339" t="str">
        <f>SUBSTITUTE(V339,"-","|",2)</f>
        <v>830-275|3683</v>
      </c>
      <c r="AA339" t="str">
        <f>LEFT(V339,3)</f>
        <v>830</v>
      </c>
      <c r="AB339" t="str">
        <f>MID(V339,5,3)</f>
        <v>275</v>
      </c>
      <c r="AC339" t="str">
        <f>RIGHT(V339,4)</f>
        <v>3683</v>
      </c>
      <c r="AD339" s="3" t="s">
        <v>2242</v>
      </c>
      <c r="AE339" s="3" t="str">
        <f t="shared" si="95"/>
        <v>8920</v>
      </c>
    </row>
    <row r="340" spans="1:31">
      <c r="A340" t="s">
        <v>2243</v>
      </c>
      <c r="B340" t="str">
        <f t="shared" si="81"/>
        <v>Lynn</v>
      </c>
      <c r="C340" t="s">
        <v>2244</v>
      </c>
      <c r="D340" t="s">
        <v>2245</v>
      </c>
      <c r="E340" t="str">
        <f t="shared" si="82"/>
        <v>Cass</v>
      </c>
      <c r="F340" t="str">
        <f t="shared" si="83"/>
        <v>LYNNCASS</v>
      </c>
      <c r="G340" t="str">
        <f t="shared" si="84"/>
        <v>LYNNCASS</v>
      </c>
      <c r="H340" t="str">
        <f t="shared" si="85"/>
        <v>LYN CASS</v>
      </c>
      <c r="I340" t="str">
        <f t="shared" si="86"/>
        <v>LYN.C</v>
      </c>
      <c r="J340" t="s">
        <v>42</v>
      </c>
      <c r="K340" t="s">
        <v>2246</v>
      </c>
      <c r="L340" t="s">
        <v>2247</v>
      </c>
      <c r="M340" t="s">
        <v>161</v>
      </c>
      <c r="N340">
        <v>48420</v>
      </c>
      <c r="O340" t="str">
        <f t="shared" si="87"/>
        <v>48420</v>
      </c>
      <c r="P340" t="str">
        <f t="shared" si="80"/>
        <v>3597 Perry Street, Clio, MI, 48420</v>
      </c>
      <c r="Q340" t="s">
        <v>2248</v>
      </c>
      <c r="R340" t="str">
        <f t="shared" si="88"/>
        <v>LynnYCass</v>
      </c>
      <c r="S340" t="str">
        <f t="shared" si="89"/>
        <v>gmail.com</v>
      </c>
      <c r="T340" t="str">
        <f t="shared" si="90"/>
        <v>gmail</v>
      </c>
      <c r="U340" t="str">
        <f t="shared" si="91"/>
        <v>LynnYCass</v>
      </c>
      <c r="V340" t="s">
        <v>2249</v>
      </c>
      <c r="W340" t="str">
        <f t="shared" si="92"/>
        <v>810-</v>
      </c>
      <c r="X340" t="str">
        <f t="shared" si="93"/>
        <v>687</v>
      </c>
      <c r="Y340" t="str">
        <f t="shared" si="94"/>
        <v>-4690</v>
      </c>
      <c r="Z340" t="str">
        <f>SUBSTITUTE(V340,"-","|",2)</f>
        <v>810-687|4690</v>
      </c>
      <c r="AA340" t="str">
        <f>LEFT(V340,3)</f>
        <v>810</v>
      </c>
      <c r="AB340" t="str">
        <f>MID(V340,5,3)</f>
        <v>687</v>
      </c>
      <c r="AC340" t="str">
        <f>RIGHT(V340,4)</f>
        <v>4690</v>
      </c>
      <c r="AD340" s="3" t="s">
        <v>2250</v>
      </c>
      <c r="AE340" s="3" t="str">
        <f t="shared" si="95"/>
        <v>5025</v>
      </c>
    </row>
    <row r="341" spans="1:31">
      <c r="A341" t="s">
        <v>148</v>
      </c>
      <c r="B341" t="str">
        <f t="shared" si="81"/>
        <v>Sue</v>
      </c>
      <c r="C341" t="s">
        <v>30</v>
      </c>
      <c r="D341" t="s">
        <v>2251</v>
      </c>
      <c r="E341" t="str">
        <f t="shared" si="82"/>
        <v>Rojas</v>
      </c>
      <c r="F341" t="str">
        <f t="shared" si="83"/>
        <v>SUEROJAS</v>
      </c>
      <c r="G341" t="str">
        <f t="shared" si="84"/>
        <v>SUEROJAS</v>
      </c>
      <c r="H341" t="str">
        <f t="shared" si="85"/>
        <v>SUE ROJAS</v>
      </c>
      <c r="I341" t="str">
        <f t="shared" si="86"/>
        <v>SUE.R</v>
      </c>
      <c r="J341" t="s">
        <v>32</v>
      </c>
      <c r="K341" t="s">
        <v>2252</v>
      </c>
      <c r="L341" t="s">
        <v>474</v>
      </c>
      <c r="M341" t="s">
        <v>104</v>
      </c>
      <c r="N341">
        <v>13202</v>
      </c>
      <c r="O341" t="str">
        <f t="shared" si="87"/>
        <v>13202</v>
      </c>
      <c r="P341" t="str">
        <f t="shared" si="80"/>
        <v>349 Confederate Drive, Syracuse, NY, 13202</v>
      </c>
      <c r="Q341" t="s">
        <v>2253</v>
      </c>
      <c r="R341" t="str">
        <f t="shared" si="88"/>
        <v>SueJRojas</v>
      </c>
      <c r="S341" t="str">
        <f t="shared" si="89"/>
        <v>hotmail.com</v>
      </c>
      <c r="T341" t="str">
        <f t="shared" si="90"/>
        <v>hotmail</v>
      </c>
      <c r="U341" t="str">
        <f t="shared" si="91"/>
        <v>SueJRojas</v>
      </c>
      <c r="V341" t="s">
        <v>2254</v>
      </c>
      <c r="W341" t="str">
        <f t="shared" si="92"/>
        <v>315-</v>
      </c>
      <c r="X341" t="str">
        <f t="shared" si="93"/>
        <v>703</v>
      </c>
      <c r="Y341" t="str">
        <f t="shared" si="94"/>
        <v>-0136</v>
      </c>
      <c r="Z341" t="str">
        <f>SUBSTITUTE(V341,"-","|",2)</f>
        <v>315-703|0136</v>
      </c>
      <c r="AA341" t="str">
        <f>LEFT(V341,3)</f>
        <v>315</v>
      </c>
      <c r="AB341" t="str">
        <f>MID(V341,5,3)</f>
        <v>703</v>
      </c>
      <c r="AC341" t="str">
        <f>RIGHT(V341,4)</f>
        <v>0136</v>
      </c>
      <c r="AD341" s="3" t="s">
        <v>2255</v>
      </c>
      <c r="AE341" s="3" t="str">
        <f t="shared" si="95"/>
        <v>872</v>
      </c>
    </row>
    <row r="342" spans="1:31">
      <c r="A342" t="s">
        <v>2256</v>
      </c>
      <c r="B342" t="str">
        <f t="shared" si="81"/>
        <v>Eulalia</v>
      </c>
      <c r="C342" t="s">
        <v>132</v>
      </c>
      <c r="D342" t="s">
        <v>1747</v>
      </c>
      <c r="E342" t="str">
        <f t="shared" si="82"/>
        <v>Miller</v>
      </c>
      <c r="F342" t="str">
        <f t="shared" si="83"/>
        <v>EULALIAMILLER</v>
      </c>
      <c r="G342" t="str">
        <f t="shared" si="84"/>
        <v>EULALIAMILLER</v>
      </c>
      <c r="H342" t="str">
        <f t="shared" si="85"/>
        <v>EUL MILLER</v>
      </c>
      <c r="I342" t="str">
        <f t="shared" si="86"/>
        <v>EUL.M</v>
      </c>
      <c r="J342" t="s">
        <v>32</v>
      </c>
      <c r="K342" t="s">
        <v>2257</v>
      </c>
      <c r="L342" t="s">
        <v>1443</v>
      </c>
      <c r="M342" t="s">
        <v>62</v>
      </c>
      <c r="N342">
        <v>20005</v>
      </c>
      <c r="O342" t="str">
        <f t="shared" si="87"/>
        <v>20005</v>
      </c>
      <c r="P342" t="str">
        <f t="shared" si="80"/>
        <v>653 Cabell Avenue, Washington, VA, 20005</v>
      </c>
      <c r="Q342" t="s">
        <v>2258</v>
      </c>
      <c r="R342" t="str">
        <f t="shared" si="88"/>
        <v>EulaliaRMiller</v>
      </c>
      <c r="S342" t="str">
        <f t="shared" si="89"/>
        <v>aol.com</v>
      </c>
      <c r="T342" t="str">
        <f t="shared" si="90"/>
        <v>aol</v>
      </c>
      <c r="U342" t="str">
        <f t="shared" si="91"/>
        <v>EulaliaRMiller</v>
      </c>
      <c r="V342" t="s">
        <v>2259</v>
      </c>
      <c r="W342" t="str">
        <f t="shared" si="92"/>
        <v>703-</v>
      </c>
      <c r="X342" t="str">
        <f t="shared" si="93"/>
        <v>579</v>
      </c>
      <c r="Y342" t="str">
        <f t="shared" si="94"/>
        <v>-7053</v>
      </c>
      <c r="Z342" t="str">
        <f>SUBSTITUTE(V342,"-","|",2)</f>
        <v>703-579|7053</v>
      </c>
      <c r="AA342" t="str">
        <f>LEFT(V342,3)</f>
        <v>703</v>
      </c>
      <c r="AB342" t="str">
        <f>MID(V342,5,3)</f>
        <v>579</v>
      </c>
      <c r="AC342" t="str">
        <f>RIGHT(V342,4)</f>
        <v>7053</v>
      </c>
      <c r="AD342" s="3" t="s">
        <v>2260</v>
      </c>
      <c r="AE342" s="3" t="str">
        <f t="shared" si="95"/>
        <v>9778</v>
      </c>
    </row>
    <row r="343" spans="1:31">
      <c r="A343" t="s">
        <v>2261</v>
      </c>
      <c r="B343" t="str">
        <f t="shared" si="81"/>
        <v>Sandra</v>
      </c>
      <c r="C343" t="s">
        <v>213</v>
      </c>
      <c r="D343" t="s">
        <v>2262</v>
      </c>
      <c r="E343" t="str">
        <f t="shared" si="82"/>
        <v>Spinks</v>
      </c>
      <c r="F343" t="str">
        <f t="shared" si="83"/>
        <v>SANDRASPINKS</v>
      </c>
      <c r="G343" t="str">
        <f t="shared" si="84"/>
        <v>SANDRASPINKS</v>
      </c>
      <c r="H343" t="str">
        <f t="shared" si="85"/>
        <v>SAN SPINKS</v>
      </c>
      <c r="I343" t="str">
        <f t="shared" si="86"/>
        <v>SAN.S</v>
      </c>
      <c r="J343" t="s">
        <v>32</v>
      </c>
      <c r="K343" t="s">
        <v>2263</v>
      </c>
      <c r="L343" t="s">
        <v>2264</v>
      </c>
      <c r="M343" t="s">
        <v>104</v>
      </c>
      <c r="N343">
        <v>14036</v>
      </c>
      <c r="O343" t="str">
        <f t="shared" si="87"/>
        <v>14036</v>
      </c>
      <c r="P343" t="str">
        <f t="shared" si="80"/>
        <v>4444 James Street, Corfu, NY, 14036</v>
      </c>
      <c r="Q343" t="s">
        <v>2265</v>
      </c>
      <c r="R343" t="str">
        <f t="shared" si="88"/>
        <v>SandraASpinks</v>
      </c>
      <c r="S343" t="str">
        <f t="shared" si="89"/>
        <v>hotmail.com</v>
      </c>
      <c r="T343" t="str">
        <f t="shared" si="90"/>
        <v>hotmail</v>
      </c>
      <c r="U343" t="str">
        <f t="shared" si="91"/>
        <v>SandraASpinks</v>
      </c>
      <c r="V343" t="s">
        <v>2266</v>
      </c>
      <c r="W343" t="str">
        <f t="shared" si="92"/>
        <v>585-</v>
      </c>
      <c r="X343" t="str">
        <f t="shared" si="93"/>
        <v>599</v>
      </c>
      <c r="Y343" t="str">
        <f t="shared" si="94"/>
        <v>-9996</v>
      </c>
      <c r="Z343" t="str">
        <f>SUBSTITUTE(V343,"-","|",2)</f>
        <v>585-599|9996</v>
      </c>
      <c r="AA343" t="str">
        <f>LEFT(V343,3)</f>
        <v>585</v>
      </c>
      <c r="AB343" t="str">
        <f>MID(V343,5,3)</f>
        <v>599</v>
      </c>
      <c r="AC343" t="str">
        <f>RIGHT(V343,4)</f>
        <v>9996</v>
      </c>
      <c r="AD343" s="3" t="s">
        <v>2267</v>
      </c>
      <c r="AE343" s="3" t="str">
        <f t="shared" si="95"/>
        <v>4585</v>
      </c>
    </row>
    <row r="344" spans="1:31">
      <c r="A344" t="s">
        <v>2268</v>
      </c>
      <c r="B344" t="str">
        <f t="shared" si="81"/>
        <v>Miranda</v>
      </c>
      <c r="C344" t="s">
        <v>270</v>
      </c>
      <c r="D344" t="s">
        <v>535</v>
      </c>
      <c r="E344" t="str">
        <f t="shared" si="82"/>
        <v>Johnson</v>
      </c>
      <c r="F344" t="str">
        <f t="shared" si="83"/>
        <v>MIRANDAJOHNSON</v>
      </c>
      <c r="G344" t="str">
        <f t="shared" si="84"/>
        <v>MIRANDAJOHNSON</v>
      </c>
      <c r="H344" t="str">
        <f t="shared" si="85"/>
        <v>MIR JOHNSON</v>
      </c>
      <c r="I344" t="str">
        <f t="shared" si="86"/>
        <v>MIR.J</v>
      </c>
      <c r="J344" t="s">
        <v>32</v>
      </c>
      <c r="K344" t="s">
        <v>2269</v>
      </c>
      <c r="L344" t="s">
        <v>631</v>
      </c>
      <c r="M344" t="s">
        <v>256</v>
      </c>
      <c r="N344">
        <v>27925</v>
      </c>
      <c r="O344" t="str">
        <f t="shared" si="87"/>
        <v>27925</v>
      </c>
      <c r="P344" t="str">
        <f t="shared" si="80"/>
        <v>242 Edwards Street, Columbia, NC, 27925</v>
      </c>
      <c r="Q344" t="s">
        <v>2270</v>
      </c>
      <c r="R344" t="str">
        <f t="shared" si="88"/>
        <v>MirandaVJohnson</v>
      </c>
      <c r="S344" t="str">
        <f t="shared" si="89"/>
        <v>hotmail.com</v>
      </c>
      <c r="T344" t="str">
        <f t="shared" si="90"/>
        <v>hotmail</v>
      </c>
      <c r="U344" t="str">
        <f t="shared" si="91"/>
        <v>MirandaVJohnson</v>
      </c>
      <c r="V344" t="s">
        <v>2271</v>
      </c>
      <c r="W344" t="str">
        <f t="shared" si="92"/>
        <v>252-</v>
      </c>
      <c r="X344" t="str">
        <f t="shared" si="93"/>
        <v>796</v>
      </c>
      <c r="Y344" t="str">
        <f t="shared" si="94"/>
        <v>-7464</v>
      </c>
      <c r="Z344" t="str">
        <f>SUBSTITUTE(V344,"-","|",2)</f>
        <v>252-796|7464</v>
      </c>
      <c r="AA344" t="str">
        <f>LEFT(V344,3)</f>
        <v>252</v>
      </c>
      <c r="AB344" t="str">
        <f>MID(V344,5,3)</f>
        <v>796</v>
      </c>
      <c r="AC344" t="str">
        <f>RIGHT(V344,4)</f>
        <v>7464</v>
      </c>
      <c r="AD344" s="3" t="s">
        <v>2272</v>
      </c>
      <c r="AE344" s="3" t="str">
        <f t="shared" si="95"/>
        <v>5813</v>
      </c>
    </row>
    <row r="345" spans="1:31">
      <c r="A345" t="s">
        <v>251</v>
      </c>
      <c r="B345" t="str">
        <f t="shared" si="81"/>
        <v>Robert</v>
      </c>
      <c r="C345" t="s">
        <v>84</v>
      </c>
      <c r="D345" t="s">
        <v>2273</v>
      </c>
      <c r="E345" t="str">
        <f t="shared" si="82"/>
        <v>Eiland</v>
      </c>
      <c r="F345" t="str">
        <f t="shared" si="83"/>
        <v>ROBERTEILAND</v>
      </c>
      <c r="G345" t="str">
        <f t="shared" si="84"/>
        <v>ROBERTEILAND</v>
      </c>
      <c r="H345" t="str">
        <f t="shared" si="85"/>
        <v>ROB EILAND</v>
      </c>
      <c r="I345" t="str">
        <f t="shared" si="86"/>
        <v>ROB.E</v>
      </c>
      <c r="J345" t="s">
        <v>42</v>
      </c>
      <c r="K345" t="s">
        <v>2274</v>
      </c>
      <c r="L345" t="s">
        <v>2275</v>
      </c>
      <c r="M345" t="s">
        <v>1385</v>
      </c>
      <c r="N345">
        <v>72205</v>
      </c>
      <c r="O345" t="str">
        <f t="shared" si="87"/>
        <v>72205</v>
      </c>
      <c r="P345" t="str">
        <f t="shared" si="80"/>
        <v>2540 Masonic Hill Road, Little Rock, AR, 72205</v>
      </c>
      <c r="Q345" t="s">
        <v>2276</v>
      </c>
      <c r="R345" t="str">
        <f t="shared" si="88"/>
        <v>RobertKEiland</v>
      </c>
      <c r="S345" t="str">
        <f t="shared" si="89"/>
        <v>gmail.com</v>
      </c>
      <c r="T345" t="str">
        <f t="shared" si="90"/>
        <v>gmail</v>
      </c>
      <c r="U345" t="str">
        <f t="shared" si="91"/>
        <v>RobertKEiland</v>
      </c>
      <c r="V345" t="s">
        <v>2277</v>
      </c>
      <c r="W345" t="str">
        <f t="shared" si="92"/>
        <v>501-</v>
      </c>
      <c r="X345" t="str">
        <f t="shared" si="93"/>
        <v>615</v>
      </c>
      <c r="Y345" t="str">
        <f t="shared" si="94"/>
        <v>-9324</v>
      </c>
      <c r="Z345" t="str">
        <f>SUBSTITUTE(V345,"-","|",2)</f>
        <v>501-615|9324</v>
      </c>
      <c r="AA345" t="str">
        <f>LEFT(V345,3)</f>
        <v>501</v>
      </c>
      <c r="AB345" t="str">
        <f>MID(V345,5,3)</f>
        <v>615</v>
      </c>
      <c r="AC345" t="str">
        <f>RIGHT(V345,4)</f>
        <v>9324</v>
      </c>
      <c r="AD345" s="3" t="s">
        <v>2278</v>
      </c>
      <c r="AE345" s="3" t="str">
        <f t="shared" si="95"/>
        <v>746</v>
      </c>
    </row>
    <row r="346" spans="1:31">
      <c r="A346" t="s">
        <v>2279</v>
      </c>
      <c r="B346" t="str">
        <f t="shared" si="81"/>
        <v>Catherine</v>
      </c>
      <c r="C346" t="s">
        <v>30</v>
      </c>
      <c r="D346" t="s">
        <v>2280</v>
      </c>
      <c r="E346" t="str">
        <f t="shared" si="82"/>
        <v>Sappington</v>
      </c>
      <c r="F346" t="str">
        <f t="shared" si="83"/>
        <v>CATHERINESAPPINGTON</v>
      </c>
      <c r="G346" t="str">
        <f t="shared" si="84"/>
        <v>CATHERINESAPPINGTON</v>
      </c>
      <c r="H346" t="str">
        <f t="shared" si="85"/>
        <v>CAT SAPPINGTON</v>
      </c>
      <c r="I346" t="str">
        <f t="shared" si="86"/>
        <v>CAT.S</v>
      </c>
      <c r="J346" t="s">
        <v>32</v>
      </c>
      <c r="K346" t="s">
        <v>2281</v>
      </c>
      <c r="L346" t="s">
        <v>2282</v>
      </c>
      <c r="M346" t="s">
        <v>161</v>
      </c>
      <c r="N346">
        <v>48708</v>
      </c>
      <c r="O346" t="str">
        <f t="shared" si="87"/>
        <v>48708</v>
      </c>
      <c r="P346" t="str">
        <f t="shared" si="80"/>
        <v>131 Juniper Drive, Bay City, MI, 48708</v>
      </c>
      <c r="Q346" t="s">
        <v>2283</v>
      </c>
      <c r="R346" t="str">
        <f t="shared" si="88"/>
        <v>CatherineJSappington</v>
      </c>
      <c r="S346" t="str">
        <f t="shared" si="89"/>
        <v>hotmail.com</v>
      </c>
      <c r="T346" t="str">
        <f t="shared" si="90"/>
        <v>hotmail</v>
      </c>
      <c r="U346" t="str">
        <f t="shared" si="91"/>
        <v>CatherineJSappington</v>
      </c>
      <c r="V346" t="s">
        <v>2284</v>
      </c>
      <c r="W346" t="str">
        <f t="shared" si="92"/>
        <v>989-</v>
      </c>
      <c r="X346" t="str">
        <f t="shared" si="93"/>
        <v>894</v>
      </c>
      <c r="Y346" t="str">
        <f t="shared" si="94"/>
        <v>-4769</v>
      </c>
      <c r="Z346" t="str">
        <f>SUBSTITUTE(V346,"-","|",2)</f>
        <v>989-894|4769</v>
      </c>
      <c r="AA346" t="str">
        <f>LEFT(V346,3)</f>
        <v>989</v>
      </c>
      <c r="AB346" t="str">
        <f>MID(V346,5,3)</f>
        <v>894</v>
      </c>
      <c r="AC346" t="str">
        <f>RIGHT(V346,4)</f>
        <v>4769</v>
      </c>
      <c r="AD346" s="3" t="s">
        <v>2285</v>
      </c>
      <c r="AE346" s="3" t="str">
        <f t="shared" si="95"/>
        <v>191</v>
      </c>
    </row>
    <row r="347" spans="1:31">
      <c r="A347" t="s">
        <v>2286</v>
      </c>
      <c r="B347" t="str">
        <f t="shared" si="81"/>
        <v>Brianna</v>
      </c>
      <c r="C347" t="s">
        <v>67</v>
      </c>
      <c r="D347" t="s">
        <v>2287</v>
      </c>
      <c r="E347" t="str">
        <f t="shared" si="82"/>
        <v>Higgins</v>
      </c>
      <c r="F347" t="str">
        <f t="shared" si="83"/>
        <v>BRIANNAHIGGINS</v>
      </c>
      <c r="G347" t="str">
        <f t="shared" si="84"/>
        <v>BRIANNAHIGGINS</v>
      </c>
      <c r="H347" t="str">
        <f t="shared" si="85"/>
        <v>BRI HIGGINS</v>
      </c>
      <c r="I347" t="str">
        <f t="shared" si="86"/>
        <v>BRI.H</v>
      </c>
      <c r="J347" t="s">
        <v>32</v>
      </c>
      <c r="K347" t="s">
        <v>2288</v>
      </c>
      <c r="L347" t="s">
        <v>185</v>
      </c>
      <c r="M347" t="s">
        <v>516</v>
      </c>
      <c r="N347">
        <v>60631</v>
      </c>
      <c r="O347" t="str">
        <f t="shared" si="87"/>
        <v>60631</v>
      </c>
      <c r="P347" t="str">
        <f t="shared" si="80"/>
        <v>4887 Post Avenue, Chicago, IN, 60631</v>
      </c>
      <c r="Q347" t="s">
        <v>2289</v>
      </c>
      <c r="R347" t="str">
        <f t="shared" si="88"/>
        <v>BriannaDHiggins</v>
      </c>
      <c r="S347" t="str">
        <f t="shared" si="89"/>
        <v>hotmail.com</v>
      </c>
      <c r="T347" t="str">
        <f t="shared" si="90"/>
        <v>hotmail</v>
      </c>
      <c r="U347" t="str">
        <f t="shared" si="91"/>
        <v>BriannaDHiggins</v>
      </c>
      <c r="V347" t="s">
        <v>2290</v>
      </c>
      <c r="W347" t="str">
        <f t="shared" si="92"/>
        <v>219-</v>
      </c>
      <c r="X347" t="str">
        <f t="shared" si="93"/>
        <v>308</v>
      </c>
      <c r="Y347" t="str">
        <f t="shared" si="94"/>
        <v>-7382</v>
      </c>
      <c r="Z347" t="str">
        <f>SUBSTITUTE(V347,"-","|",2)</f>
        <v>219-308|7382</v>
      </c>
      <c r="AA347" t="str">
        <f>LEFT(V347,3)</f>
        <v>219</v>
      </c>
      <c r="AB347" t="str">
        <f>MID(V347,5,3)</f>
        <v>308</v>
      </c>
      <c r="AC347" t="str">
        <f>RIGHT(V347,4)</f>
        <v>7382</v>
      </c>
      <c r="AD347" s="3" t="s">
        <v>2291</v>
      </c>
      <c r="AE347" s="3" t="str">
        <f t="shared" si="95"/>
        <v>418</v>
      </c>
    </row>
    <row r="348" spans="1:31">
      <c r="A348" t="s">
        <v>2292</v>
      </c>
      <c r="B348" t="str">
        <f t="shared" si="81"/>
        <v>Luis</v>
      </c>
      <c r="C348" t="s">
        <v>84</v>
      </c>
      <c r="D348" t="s">
        <v>2293</v>
      </c>
      <c r="E348" t="str">
        <f t="shared" si="82"/>
        <v>Stokes</v>
      </c>
      <c r="F348" t="str">
        <f t="shared" si="83"/>
        <v>LUISSTOKES</v>
      </c>
      <c r="G348" t="str">
        <f t="shared" si="84"/>
        <v>LUISSTOKES</v>
      </c>
      <c r="H348" t="str">
        <f t="shared" si="85"/>
        <v>LUI STOKES</v>
      </c>
      <c r="I348" t="str">
        <f t="shared" si="86"/>
        <v>LUI.S</v>
      </c>
      <c r="J348" t="s">
        <v>42</v>
      </c>
      <c r="K348" t="s">
        <v>2294</v>
      </c>
      <c r="L348" t="s">
        <v>185</v>
      </c>
      <c r="M348" t="s">
        <v>35</v>
      </c>
      <c r="N348">
        <v>60607</v>
      </c>
      <c r="O348" t="str">
        <f t="shared" si="87"/>
        <v>60607</v>
      </c>
      <c r="P348" t="str">
        <f t="shared" si="80"/>
        <v>4284 West Drive, Chicago, IL, 60607</v>
      </c>
      <c r="Q348" t="s">
        <v>2295</v>
      </c>
      <c r="R348" t="str">
        <f t="shared" si="88"/>
        <v>LuisKStokes</v>
      </c>
      <c r="S348" t="str">
        <f t="shared" si="89"/>
        <v>aol.com</v>
      </c>
      <c r="T348" t="str">
        <f t="shared" si="90"/>
        <v>aol</v>
      </c>
      <c r="U348" t="str">
        <f t="shared" si="91"/>
        <v>LuisKStokes</v>
      </c>
      <c r="V348" t="s">
        <v>2296</v>
      </c>
      <c r="W348" t="str">
        <f t="shared" si="92"/>
        <v>312-</v>
      </c>
      <c r="X348" t="str">
        <f t="shared" si="93"/>
        <v>432</v>
      </c>
      <c r="Y348" t="str">
        <f t="shared" si="94"/>
        <v>-5580</v>
      </c>
      <c r="Z348" t="str">
        <f>SUBSTITUTE(V348,"-","|",2)</f>
        <v>312-432|5580</v>
      </c>
      <c r="AA348" t="str">
        <f>LEFT(V348,3)</f>
        <v>312</v>
      </c>
      <c r="AB348" t="str">
        <f>MID(V348,5,3)</f>
        <v>432</v>
      </c>
      <c r="AC348" t="str">
        <f>RIGHT(V348,4)</f>
        <v>5580</v>
      </c>
      <c r="AD348" s="3" t="s">
        <v>2297</v>
      </c>
      <c r="AE348" s="3" t="str">
        <f t="shared" si="95"/>
        <v>6259</v>
      </c>
    </row>
    <row r="349" spans="1:31">
      <c r="A349" t="s">
        <v>2298</v>
      </c>
      <c r="B349" t="str">
        <f t="shared" si="81"/>
        <v>Russ</v>
      </c>
      <c r="C349" t="s">
        <v>365</v>
      </c>
      <c r="D349" t="s">
        <v>2299</v>
      </c>
      <c r="E349" t="str">
        <f t="shared" si="82"/>
        <v>Morrison</v>
      </c>
      <c r="F349" t="str">
        <f t="shared" si="83"/>
        <v>RUSSMORRISON</v>
      </c>
      <c r="G349" t="str">
        <f t="shared" si="84"/>
        <v>RUSSMORRISON</v>
      </c>
      <c r="H349" t="str">
        <f t="shared" si="85"/>
        <v>RUS MORRISON</v>
      </c>
      <c r="I349" t="str">
        <f t="shared" si="86"/>
        <v>RUS.M</v>
      </c>
      <c r="J349" t="s">
        <v>42</v>
      </c>
      <c r="K349" t="s">
        <v>2300</v>
      </c>
      <c r="L349" t="s">
        <v>1157</v>
      </c>
      <c r="M349" t="s">
        <v>104</v>
      </c>
      <c r="N349">
        <v>10007</v>
      </c>
      <c r="O349" t="str">
        <f t="shared" si="87"/>
        <v>10007</v>
      </c>
      <c r="P349" t="str">
        <f t="shared" si="80"/>
        <v>3892 Hanover Street, New York, NY, 10007</v>
      </c>
      <c r="Q349" t="s">
        <v>2301</v>
      </c>
      <c r="R349" t="str">
        <f t="shared" si="88"/>
        <v>RussGMorrison</v>
      </c>
      <c r="S349" t="str">
        <f t="shared" si="89"/>
        <v>aol.com</v>
      </c>
      <c r="T349" t="str">
        <f t="shared" si="90"/>
        <v>aol</v>
      </c>
      <c r="U349" t="str">
        <f t="shared" si="91"/>
        <v>RussGMorrison</v>
      </c>
      <c r="V349" t="s">
        <v>2302</v>
      </c>
      <c r="W349" t="str">
        <f t="shared" si="92"/>
        <v>917-</v>
      </c>
      <c r="X349" t="str">
        <f t="shared" si="93"/>
        <v>678</v>
      </c>
      <c r="Y349" t="str">
        <f t="shared" si="94"/>
        <v>-5295</v>
      </c>
      <c r="Z349" t="str">
        <f>SUBSTITUTE(V349,"-","|",2)</f>
        <v>917-678|5295</v>
      </c>
      <c r="AA349" t="str">
        <f>LEFT(V349,3)</f>
        <v>917</v>
      </c>
      <c r="AB349" t="str">
        <f>MID(V349,5,3)</f>
        <v>678</v>
      </c>
      <c r="AC349" t="str">
        <f>RIGHT(V349,4)</f>
        <v>5295</v>
      </c>
      <c r="AD349" s="3" t="s">
        <v>2303</v>
      </c>
      <c r="AE349" s="3" t="str">
        <f t="shared" si="95"/>
        <v>3879</v>
      </c>
    </row>
    <row r="350" spans="1:31">
      <c r="A350" t="s">
        <v>2304</v>
      </c>
      <c r="B350" t="str">
        <f t="shared" si="81"/>
        <v>Carlotta</v>
      </c>
      <c r="C350" t="s">
        <v>182</v>
      </c>
      <c r="D350" t="s">
        <v>2305</v>
      </c>
      <c r="E350" t="str">
        <f t="shared" si="82"/>
        <v>Chamberlain</v>
      </c>
      <c r="F350" t="str">
        <f t="shared" si="83"/>
        <v>CARLOTTACHAMBERLAIN</v>
      </c>
      <c r="G350" t="str">
        <f t="shared" si="84"/>
        <v>CARLOTTACHAMBERLAIN</v>
      </c>
      <c r="H350" t="str">
        <f t="shared" si="85"/>
        <v>CAR CHAMBERLAIN</v>
      </c>
      <c r="I350" t="str">
        <f t="shared" si="86"/>
        <v>CAR.C</v>
      </c>
      <c r="J350" t="s">
        <v>32</v>
      </c>
      <c r="K350" t="s">
        <v>2306</v>
      </c>
      <c r="L350" t="s">
        <v>579</v>
      </c>
      <c r="M350" t="s">
        <v>538</v>
      </c>
      <c r="N350">
        <v>15222</v>
      </c>
      <c r="O350" t="str">
        <f t="shared" si="87"/>
        <v>15222</v>
      </c>
      <c r="P350" t="str">
        <f t="shared" si="80"/>
        <v>89 Beechwood Drive, Pittsburgh, PA, 15222</v>
      </c>
      <c r="Q350" t="s">
        <v>2307</v>
      </c>
      <c r="R350" t="str">
        <f t="shared" si="88"/>
        <v>CarlottaCChamberlain</v>
      </c>
      <c r="S350" t="str">
        <f t="shared" si="89"/>
        <v>hotmail.com</v>
      </c>
      <c r="T350" t="str">
        <f t="shared" si="90"/>
        <v>hotmail</v>
      </c>
      <c r="U350" t="str">
        <f t="shared" si="91"/>
        <v>CarlottaCChamberlain</v>
      </c>
      <c r="V350" t="s">
        <v>2308</v>
      </c>
      <c r="W350" t="str">
        <f t="shared" si="92"/>
        <v>412-</v>
      </c>
      <c r="X350" t="str">
        <f t="shared" si="93"/>
        <v>216</v>
      </c>
      <c r="Y350" t="str">
        <f t="shared" si="94"/>
        <v>-9115</v>
      </c>
      <c r="Z350" t="str">
        <f>SUBSTITUTE(V350,"-","|",2)</f>
        <v>412-216|9115</v>
      </c>
      <c r="AA350" t="str">
        <f>LEFT(V350,3)</f>
        <v>412</v>
      </c>
      <c r="AB350" t="str">
        <f>MID(V350,5,3)</f>
        <v>216</v>
      </c>
      <c r="AC350" t="str">
        <f>RIGHT(V350,4)</f>
        <v>9115</v>
      </c>
      <c r="AD350" s="3" t="s">
        <v>2309</v>
      </c>
      <c r="AE350" s="3" t="str">
        <f t="shared" si="95"/>
        <v>9804</v>
      </c>
    </row>
    <row r="351" spans="1:31">
      <c r="A351" t="s">
        <v>2310</v>
      </c>
      <c r="B351" t="str">
        <f t="shared" si="81"/>
        <v>Stanley</v>
      </c>
      <c r="C351" t="s">
        <v>213</v>
      </c>
      <c r="D351" t="s">
        <v>2311</v>
      </c>
      <c r="E351" t="str">
        <f t="shared" si="82"/>
        <v>Vinson</v>
      </c>
      <c r="F351" t="str">
        <f t="shared" si="83"/>
        <v>STANLEYVINSON</v>
      </c>
      <c r="G351" t="str">
        <f t="shared" si="84"/>
        <v>STANLEYVINSON</v>
      </c>
      <c r="H351" t="str">
        <f t="shared" si="85"/>
        <v>STA VINSON</v>
      </c>
      <c r="I351" t="str">
        <f t="shared" si="86"/>
        <v>STA.V</v>
      </c>
      <c r="J351" t="s">
        <v>42</v>
      </c>
      <c r="K351" t="s">
        <v>2312</v>
      </c>
      <c r="L351" t="s">
        <v>1625</v>
      </c>
      <c r="M351" t="s">
        <v>71</v>
      </c>
      <c r="N351">
        <v>70601</v>
      </c>
      <c r="O351" t="str">
        <f t="shared" si="87"/>
        <v>70601</v>
      </c>
      <c r="P351" t="str">
        <f t="shared" si="80"/>
        <v>2548 Sarah Drive, Lake Charles, LA, 70601</v>
      </c>
      <c r="Q351" t="s">
        <v>2313</v>
      </c>
      <c r="R351" t="str">
        <f t="shared" si="88"/>
        <v>StanleyAVinson</v>
      </c>
      <c r="S351" t="str">
        <f t="shared" si="89"/>
        <v>aol.com</v>
      </c>
      <c r="T351" t="str">
        <f t="shared" si="90"/>
        <v>aol</v>
      </c>
      <c r="U351" t="str">
        <f t="shared" si="91"/>
        <v>StanleyAVinson</v>
      </c>
      <c r="V351" t="s">
        <v>2314</v>
      </c>
      <c r="W351" t="str">
        <f t="shared" si="92"/>
        <v>337-</v>
      </c>
      <c r="X351" t="str">
        <f t="shared" si="93"/>
        <v>505</v>
      </c>
      <c r="Y351" t="str">
        <f t="shared" si="94"/>
        <v>-6275</v>
      </c>
      <c r="Z351" t="str">
        <f>SUBSTITUTE(V351,"-","|",2)</f>
        <v>337-505|6275</v>
      </c>
      <c r="AA351" t="str">
        <f>LEFT(V351,3)</f>
        <v>337</v>
      </c>
      <c r="AB351" t="str">
        <f>MID(V351,5,3)</f>
        <v>505</v>
      </c>
      <c r="AC351" t="str">
        <f>RIGHT(V351,4)</f>
        <v>6275</v>
      </c>
      <c r="AD351" s="3" t="s">
        <v>2315</v>
      </c>
      <c r="AE351" s="3" t="str">
        <f t="shared" si="95"/>
        <v>379</v>
      </c>
    </row>
    <row r="352" spans="1:31">
      <c r="A352" t="s">
        <v>2316</v>
      </c>
      <c r="B352" t="str">
        <f t="shared" si="81"/>
        <v>Vern</v>
      </c>
      <c r="C352" t="s">
        <v>365</v>
      </c>
      <c r="D352" t="s">
        <v>2317</v>
      </c>
      <c r="E352" t="str">
        <f t="shared" si="82"/>
        <v>Ripple</v>
      </c>
      <c r="F352" t="str">
        <f t="shared" si="83"/>
        <v>VERNRIPPLE</v>
      </c>
      <c r="G352" t="str">
        <f t="shared" si="84"/>
        <v>VERNRIPPLE</v>
      </c>
      <c r="H352" t="str">
        <f t="shared" si="85"/>
        <v>VER RIPPLE</v>
      </c>
      <c r="I352" t="str">
        <f t="shared" si="86"/>
        <v>VER.R</v>
      </c>
      <c r="J352" t="s">
        <v>42</v>
      </c>
      <c r="K352" t="s">
        <v>2318</v>
      </c>
      <c r="L352" t="s">
        <v>1545</v>
      </c>
      <c r="M352" t="s">
        <v>1546</v>
      </c>
      <c r="N352">
        <v>89109</v>
      </c>
      <c r="O352" t="str">
        <f t="shared" si="87"/>
        <v>89109</v>
      </c>
      <c r="P352" t="str">
        <f t="shared" si="80"/>
        <v>4135 Hickory Ridge Drive, Las Vegas, NV, 89109</v>
      </c>
      <c r="Q352" t="s">
        <v>2319</v>
      </c>
      <c r="R352" t="str">
        <f t="shared" si="88"/>
        <v>VernGRipple</v>
      </c>
      <c r="S352" t="str">
        <f t="shared" si="89"/>
        <v>gmail.com</v>
      </c>
      <c r="T352" t="str">
        <f t="shared" si="90"/>
        <v>gmail</v>
      </c>
      <c r="U352" t="str">
        <f t="shared" si="91"/>
        <v>VernGRipple</v>
      </c>
      <c r="V352" t="s">
        <v>2320</v>
      </c>
      <c r="W352" t="str">
        <f t="shared" si="92"/>
        <v>702-</v>
      </c>
      <c r="X352" t="str">
        <f t="shared" si="93"/>
        <v>681</v>
      </c>
      <c r="Y352" t="str">
        <f t="shared" si="94"/>
        <v>-1168</v>
      </c>
      <c r="Z352" t="str">
        <f>SUBSTITUTE(V352,"-","|",2)</f>
        <v>702-681|1168</v>
      </c>
      <c r="AA352" t="str">
        <f>LEFT(V352,3)</f>
        <v>702</v>
      </c>
      <c r="AB352" t="str">
        <f>MID(V352,5,3)</f>
        <v>681</v>
      </c>
      <c r="AC352" t="str">
        <f>RIGHT(V352,4)</f>
        <v>1168</v>
      </c>
      <c r="AD352" s="3" t="s">
        <v>2321</v>
      </c>
      <c r="AE352" s="3" t="str">
        <f t="shared" si="95"/>
        <v>384</v>
      </c>
    </row>
    <row r="353" spans="1:31">
      <c r="A353" t="s">
        <v>2322</v>
      </c>
      <c r="B353" t="str">
        <f t="shared" si="81"/>
        <v>Kathleen</v>
      </c>
      <c r="C353" t="s">
        <v>116</v>
      </c>
      <c r="D353" t="s">
        <v>1218</v>
      </c>
      <c r="E353" t="str">
        <f t="shared" si="82"/>
        <v>Walters</v>
      </c>
      <c r="F353" t="str">
        <f t="shared" si="83"/>
        <v>KATHLEENWALTERS</v>
      </c>
      <c r="G353" t="str">
        <f t="shared" si="84"/>
        <v>KATHLEENWALTERS</v>
      </c>
      <c r="H353" t="str">
        <f t="shared" si="85"/>
        <v>KAT WALTERS</v>
      </c>
      <c r="I353" t="str">
        <f t="shared" si="86"/>
        <v>KAT.W</v>
      </c>
      <c r="J353" t="s">
        <v>32</v>
      </c>
      <c r="K353" t="s">
        <v>2323</v>
      </c>
      <c r="L353" t="s">
        <v>858</v>
      </c>
      <c r="M353" t="s">
        <v>538</v>
      </c>
      <c r="N353">
        <v>19103</v>
      </c>
      <c r="O353" t="str">
        <f t="shared" si="87"/>
        <v>19103</v>
      </c>
      <c r="P353" t="str">
        <f t="shared" si="80"/>
        <v>4692 Tipple Road, Philadelphia, PA, 19103</v>
      </c>
      <c r="Q353" t="s">
        <v>2324</v>
      </c>
      <c r="R353" t="str">
        <f t="shared" si="88"/>
        <v>KathleenHWalters</v>
      </c>
      <c r="S353" t="str">
        <f t="shared" si="89"/>
        <v>aol.com</v>
      </c>
      <c r="T353" t="str">
        <f t="shared" si="90"/>
        <v>aol</v>
      </c>
      <c r="U353" t="str">
        <f t="shared" si="91"/>
        <v>KathleenHWalters</v>
      </c>
      <c r="V353" t="s">
        <v>2325</v>
      </c>
      <c r="W353" t="str">
        <f t="shared" si="92"/>
        <v>215-</v>
      </c>
      <c r="X353" t="str">
        <f t="shared" si="93"/>
        <v>751</v>
      </c>
      <c r="Y353" t="str">
        <f t="shared" si="94"/>
        <v>-3031</v>
      </c>
      <c r="Z353" t="str">
        <f>SUBSTITUTE(V353,"-","|",2)</f>
        <v>215-751|3031</v>
      </c>
      <c r="AA353" t="str">
        <f>LEFT(V353,3)</f>
        <v>215</v>
      </c>
      <c r="AB353" t="str">
        <f>MID(V353,5,3)</f>
        <v>751</v>
      </c>
      <c r="AC353" t="str">
        <f>RIGHT(V353,4)</f>
        <v>3031</v>
      </c>
      <c r="AD353" s="3" t="s">
        <v>2326</v>
      </c>
      <c r="AE353" s="3" t="str">
        <f t="shared" si="95"/>
        <v>9840</v>
      </c>
    </row>
    <row r="354" spans="1:31">
      <c r="A354" t="s">
        <v>251</v>
      </c>
      <c r="B354" t="str">
        <f t="shared" si="81"/>
        <v>Robert</v>
      </c>
      <c r="C354" t="s">
        <v>182</v>
      </c>
      <c r="D354" t="s">
        <v>2327</v>
      </c>
      <c r="E354" t="str">
        <f t="shared" si="82"/>
        <v>Bushman</v>
      </c>
      <c r="F354" t="str">
        <f t="shared" si="83"/>
        <v>ROBERTBUSHMAN</v>
      </c>
      <c r="G354" t="str">
        <f t="shared" si="84"/>
        <v>ROBERTBUSHMAN</v>
      </c>
      <c r="H354" t="str">
        <f t="shared" si="85"/>
        <v>ROB BUSHMAN</v>
      </c>
      <c r="I354" t="str">
        <f t="shared" si="86"/>
        <v>ROB.B</v>
      </c>
      <c r="J354" t="s">
        <v>42</v>
      </c>
      <c r="K354" t="s">
        <v>2328</v>
      </c>
      <c r="L354" t="s">
        <v>2329</v>
      </c>
      <c r="M354" t="s">
        <v>538</v>
      </c>
      <c r="N354">
        <v>16644</v>
      </c>
      <c r="O354" t="str">
        <f t="shared" si="87"/>
        <v>16644</v>
      </c>
      <c r="P354" t="str">
        <f t="shared" si="80"/>
        <v>2346 Spadafore Drive, Glasgow, PA, 16644</v>
      </c>
      <c r="Q354" t="s">
        <v>2330</v>
      </c>
      <c r="R354" t="str">
        <f t="shared" si="88"/>
        <v>RobertCBushman</v>
      </c>
      <c r="S354" t="str">
        <f t="shared" si="89"/>
        <v>gmail.com</v>
      </c>
      <c r="T354" t="str">
        <f t="shared" si="90"/>
        <v>gmail</v>
      </c>
      <c r="U354" t="str">
        <f t="shared" si="91"/>
        <v>RobertCBushman</v>
      </c>
      <c r="V354" t="s">
        <v>2331</v>
      </c>
      <c r="W354" t="str">
        <f t="shared" si="92"/>
        <v>814-</v>
      </c>
      <c r="X354" t="str">
        <f t="shared" si="93"/>
        <v>687</v>
      </c>
      <c r="Y354" t="str">
        <f t="shared" si="94"/>
        <v>-8961</v>
      </c>
      <c r="Z354" t="str">
        <f>SUBSTITUTE(V354,"-","|",2)</f>
        <v>814-687|8961</v>
      </c>
      <c r="AA354" t="str">
        <f>LEFT(V354,3)</f>
        <v>814</v>
      </c>
      <c r="AB354" t="str">
        <f>MID(V354,5,3)</f>
        <v>687</v>
      </c>
      <c r="AC354" t="str">
        <f>RIGHT(V354,4)</f>
        <v>8961</v>
      </c>
      <c r="AD354" s="3" t="s">
        <v>2332</v>
      </c>
      <c r="AE354" s="3" t="str">
        <f t="shared" si="95"/>
        <v>4703</v>
      </c>
    </row>
    <row r="355" spans="1:31">
      <c r="A355" t="s">
        <v>2333</v>
      </c>
      <c r="B355" t="str">
        <f t="shared" si="81"/>
        <v>Andrea</v>
      </c>
      <c r="C355" t="s">
        <v>84</v>
      </c>
      <c r="D355" t="s">
        <v>2334</v>
      </c>
      <c r="E355" t="str">
        <f t="shared" si="82"/>
        <v>Goode</v>
      </c>
      <c r="F355" t="str">
        <f t="shared" si="83"/>
        <v>ANDREAGOODE</v>
      </c>
      <c r="G355" t="str">
        <f t="shared" si="84"/>
        <v>ANDREAGOODE</v>
      </c>
      <c r="H355" t="str">
        <f t="shared" si="85"/>
        <v>AND GOODE</v>
      </c>
      <c r="I355" t="str">
        <f t="shared" si="86"/>
        <v>AND.G</v>
      </c>
      <c r="J355" t="s">
        <v>32</v>
      </c>
      <c r="K355" t="s">
        <v>2335</v>
      </c>
      <c r="L355" t="s">
        <v>2336</v>
      </c>
      <c r="M355" t="s">
        <v>62</v>
      </c>
      <c r="N355">
        <v>22401</v>
      </c>
      <c r="O355" t="str">
        <f t="shared" si="87"/>
        <v>22401</v>
      </c>
      <c r="P355" t="str">
        <f t="shared" si="80"/>
        <v>4928 Hurry Street, Fredericksburg, VA, 22401</v>
      </c>
      <c r="Q355" t="s">
        <v>2337</v>
      </c>
      <c r="R355" t="str">
        <f t="shared" si="88"/>
        <v>AndreaKGoode</v>
      </c>
      <c r="S355" t="str">
        <f t="shared" si="89"/>
        <v>aol.com</v>
      </c>
      <c r="T355" t="str">
        <f t="shared" si="90"/>
        <v>aol</v>
      </c>
      <c r="U355" t="str">
        <f t="shared" si="91"/>
        <v>AndreaKGoode</v>
      </c>
      <c r="V355" t="s">
        <v>2338</v>
      </c>
      <c r="W355" t="str">
        <f t="shared" si="92"/>
        <v>540-</v>
      </c>
      <c r="X355" t="str">
        <f t="shared" si="93"/>
        <v>368</v>
      </c>
      <c r="Y355" t="str">
        <f t="shared" si="94"/>
        <v>-4413</v>
      </c>
      <c r="Z355" t="str">
        <f>SUBSTITUTE(V355,"-","|",2)</f>
        <v>540-368|4413</v>
      </c>
      <c r="AA355" t="str">
        <f>LEFT(V355,3)</f>
        <v>540</v>
      </c>
      <c r="AB355" t="str">
        <f>MID(V355,5,3)</f>
        <v>368</v>
      </c>
      <c r="AC355" t="str">
        <f>RIGHT(V355,4)</f>
        <v>4413</v>
      </c>
      <c r="AD355" s="3" t="s">
        <v>2339</v>
      </c>
      <c r="AE355" s="3" t="str">
        <f t="shared" si="95"/>
        <v>270</v>
      </c>
    </row>
    <row r="356" spans="1:31">
      <c r="A356" t="s">
        <v>2340</v>
      </c>
      <c r="B356" t="str">
        <f t="shared" si="81"/>
        <v>Jennie</v>
      </c>
      <c r="C356" t="s">
        <v>40</v>
      </c>
      <c r="D356" t="s">
        <v>2341</v>
      </c>
      <c r="E356" t="str">
        <f t="shared" si="82"/>
        <v>Tellez</v>
      </c>
      <c r="F356" t="str">
        <f t="shared" si="83"/>
        <v>JENNIETELLEZ</v>
      </c>
      <c r="G356" t="str">
        <f t="shared" si="84"/>
        <v>JENNIETELLEZ</v>
      </c>
      <c r="H356" t="str">
        <f t="shared" si="85"/>
        <v>JEN TELLEZ</v>
      </c>
      <c r="I356" t="str">
        <f t="shared" si="86"/>
        <v>JEN.T</v>
      </c>
      <c r="J356" t="s">
        <v>32</v>
      </c>
      <c r="K356" t="s">
        <v>2342</v>
      </c>
      <c r="L356" t="s">
        <v>2343</v>
      </c>
      <c r="M356" t="s">
        <v>200</v>
      </c>
      <c r="N356">
        <v>32084</v>
      </c>
      <c r="O356" t="str">
        <f t="shared" si="87"/>
        <v>32084</v>
      </c>
      <c r="P356" t="str">
        <f t="shared" si="80"/>
        <v>4465 Brannon Avenue, St Augustine, FL, 32084</v>
      </c>
      <c r="Q356" t="s">
        <v>2344</v>
      </c>
      <c r="R356" t="str">
        <f t="shared" si="88"/>
        <v>JennieSTellez</v>
      </c>
      <c r="S356" t="str">
        <f t="shared" si="89"/>
        <v>aol.com</v>
      </c>
      <c r="T356" t="str">
        <f t="shared" si="90"/>
        <v>aol</v>
      </c>
      <c r="U356" t="str">
        <f t="shared" si="91"/>
        <v>JennieSTellez</v>
      </c>
      <c r="V356" t="s">
        <v>2345</v>
      </c>
      <c r="W356" t="str">
        <f t="shared" si="92"/>
        <v>904-</v>
      </c>
      <c r="X356" t="str">
        <f t="shared" si="93"/>
        <v>824</v>
      </c>
      <c r="Y356" t="str">
        <f t="shared" si="94"/>
        <v>-8057</v>
      </c>
      <c r="Z356" t="str">
        <f>SUBSTITUTE(V356,"-","|",2)</f>
        <v>904-824|8057</v>
      </c>
      <c r="AA356" t="str">
        <f>LEFT(V356,3)</f>
        <v>904</v>
      </c>
      <c r="AB356" t="str">
        <f>MID(V356,5,3)</f>
        <v>824</v>
      </c>
      <c r="AC356" t="str">
        <f>RIGHT(V356,4)</f>
        <v>8057</v>
      </c>
      <c r="AD356" s="3" t="s">
        <v>2346</v>
      </c>
      <c r="AE356" s="3" t="str">
        <f t="shared" si="95"/>
        <v>2143</v>
      </c>
    </row>
    <row r="357" spans="1:31">
      <c r="A357" t="s">
        <v>189</v>
      </c>
      <c r="B357" t="str">
        <f t="shared" si="81"/>
        <v>James</v>
      </c>
      <c r="C357" t="s">
        <v>182</v>
      </c>
      <c r="D357" t="s">
        <v>117</v>
      </c>
      <c r="E357" t="str">
        <f t="shared" si="82"/>
        <v>Ford</v>
      </c>
      <c r="F357" t="str">
        <f t="shared" si="83"/>
        <v>JAMESFORD</v>
      </c>
      <c r="G357" t="str">
        <f t="shared" si="84"/>
        <v>JAMESFORD</v>
      </c>
      <c r="H357" t="str">
        <f t="shared" si="85"/>
        <v>JAM FORD</v>
      </c>
      <c r="I357" t="str">
        <f t="shared" si="86"/>
        <v>JAM.F</v>
      </c>
      <c r="J357" t="s">
        <v>42</v>
      </c>
      <c r="K357" t="s">
        <v>2347</v>
      </c>
      <c r="L357" t="s">
        <v>2348</v>
      </c>
      <c r="M357" t="s">
        <v>265</v>
      </c>
      <c r="N357">
        <v>1581</v>
      </c>
      <c r="O357" t="str">
        <f t="shared" si="87"/>
        <v>01581</v>
      </c>
      <c r="P357" t="str">
        <f t="shared" si="80"/>
        <v>3445 Stadium Drive, Westborough, MA, 1581</v>
      </c>
      <c r="Q357" t="s">
        <v>2349</v>
      </c>
      <c r="R357" t="str">
        <f t="shared" si="88"/>
        <v>JamesCFord</v>
      </c>
      <c r="S357" t="str">
        <f t="shared" si="89"/>
        <v>gmail.com</v>
      </c>
      <c r="T357" t="str">
        <f t="shared" si="90"/>
        <v>gmail</v>
      </c>
      <c r="U357" t="str">
        <f t="shared" si="91"/>
        <v>JamesCFord</v>
      </c>
      <c r="V357" t="s">
        <v>2350</v>
      </c>
      <c r="W357" t="str">
        <f t="shared" si="92"/>
        <v>508-</v>
      </c>
      <c r="X357" t="str">
        <f t="shared" si="93"/>
        <v>254</v>
      </c>
      <c r="Y357" t="str">
        <f t="shared" si="94"/>
        <v>-4835</v>
      </c>
      <c r="Z357" t="str">
        <f>SUBSTITUTE(V357,"-","|",2)</f>
        <v>508-254|4835</v>
      </c>
      <c r="AA357" t="str">
        <f>LEFT(V357,3)</f>
        <v>508</v>
      </c>
      <c r="AB357" t="str">
        <f>MID(V357,5,3)</f>
        <v>254</v>
      </c>
      <c r="AC357" t="str">
        <f>RIGHT(V357,4)</f>
        <v>4835</v>
      </c>
      <c r="AD357" s="3" t="s">
        <v>2351</v>
      </c>
      <c r="AE357" s="3" t="str">
        <f t="shared" si="95"/>
        <v>574</v>
      </c>
    </row>
    <row r="358" spans="1:31">
      <c r="A358" t="s">
        <v>181</v>
      </c>
      <c r="B358" t="str">
        <f t="shared" si="81"/>
        <v>Grace</v>
      </c>
      <c r="C358" t="s">
        <v>166</v>
      </c>
      <c r="D358" t="s">
        <v>2352</v>
      </c>
      <c r="E358" t="str">
        <f t="shared" si="82"/>
        <v>Garett</v>
      </c>
      <c r="F358" t="str">
        <f t="shared" si="83"/>
        <v>GRACEGARETT</v>
      </c>
      <c r="G358" t="str">
        <f t="shared" si="84"/>
        <v>GRACEGARETT</v>
      </c>
      <c r="H358" t="str">
        <f t="shared" si="85"/>
        <v>GRA GARETT</v>
      </c>
      <c r="I358" t="str">
        <f t="shared" si="86"/>
        <v>GRA.G</v>
      </c>
      <c r="J358" t="s">
        <v>32</v>
      </c>
      <c r="K358" t="s">
        <v>2353</v>
      </c>
      <c r="L358" t="s">
        <v>2354</v>
      </c>
      <c r="M358" t="s">
        <v>225</v>
      </c>
      <c r="N358">
        <v>25844</v>
      </c>
      <c r="O358" t="str">
        <f t="shared" si="87"/>
        <v>25844</v>
      </c>
      <c r="P358" t="str">
        <f t="shared" si="80"/>
        <v>3615 Kelly Drive, Glen Daniel, WV, 25844</v>
      </c>
      <c r="Q358" t="s">
        <v>2355</v>
      </c>
      <c r="R358" t="str">
        <f t="shared" si="88"/>
        <v>GraceBGarett</v>
      </c>
      <c r="S358" t="str">
        <f t="shared" si="89"/>
        <v>gmail.com</v>
      </c>
      <c r="T358" t="str">
        <f t="shared" si="90"/>
        <v>gmail</v>
      </c>
      <c r="U358" t="str">
        <f t="shared" si="91"/>
        <v>GraceBGarett</v>
      </c>
      <c r="V358" t="s">
        <v>2356</v>
      </c>
      <c r="W358" t="str">
        <f t="shared" si="92"/>
        <v>304-</v>
      </c>
      <c r="X358" t="str">
        <f t="shared" si="93"/>
        <v>934</v>
      </c>
      <c r="Y358" t="str">
        <f t="shared" si="94"/>
        <v>-4291</v>
      </c>
      <c r="Z358" t="str">
        <f>SUBSTITUTE(V358,"-","|",2)</f>
        <v>304-934|4291</v>
      </c>
      <c r="AA358" t="str">
        <f>LEFT(V358,3)</f>
        <v>304</v>
      </c>
      <c r="AB358" t="str">
        <f>MID(V358,5,3)</f>
        <v>934</v>
      </c>
      <c r="AC358" t="str">
        <f>RIGHT(V358,4)</f>
        <v>4291</v>
      </c>
      <c r="AD358" s="3" t="s">
        <v>2357</v>
      </c>
      <c r="AE358" s="3" t="str">
        <f t="shared" si="95"/>
        <v>5879</v>
      </c>
    </row>
    <row r="359" spans="1:31">
      <c r="A359" t="s">
        <v>2358</v>
      </c>
      <c r="B359" t="str">
        <f t="shared" si="81"/>
        <v>Amelia</v>
      </c>
      <c r="C359" t="s">
        <v>67</v>
      </c>
      <c r="D359" t="s">
        <v>1382</v>
      </c>
      <c r="E359" t="str">
        <f t="shared" si="82"/>
        <v>Ramirez</v>
      </c>
      <c r="F359" t="str">
        <f t="shared" si="83"/>
        <v>AMELIARAMIREZ</v>
      </c>
      <c r="G359" t="str">
        <f t="shared" si="84"/>
        <v>AMELIARAMIREZ</v>
      </c>
      <c r="H359" t="str">
        <f t="shared" si="85"/>
        <v>AME RAMIREZ</v>
      </c>
      <c r="I359" t="str">
        <f t="shared" si="86"/>
        <v>AME.R</v>
      </c>
      <c r="J359" t="s">
        <v>32</v>
      </c>
      <c r="K359" t="s">
        <v>2359</v>
      </c>
      <c r="L359" t="s">
        <v>2360</v>
      </c>
      <c r="M359" t="s">
        <v>45</v>
      </c>
      <c r="N359">
        <v>92311</v>
      </c>
      <c r="O359" t="str">
        <f t="shared" si="87"/>
        <v>92311</v>
      </c>
      <c r="P359" t="str">
        <f t="shared" si="80"/>
        <v>1004 Parkway Street, Barstow, CA, 92311</v>
      </c>
      <c r="Q359" t="s">
        <v>2361</v>
      </c>
      <c r="R359" t="str">
        <f t="shared" si="88"/>
        <v>AmeliaDRamirez</v>
      </c>
      <c r="S359" t="str">
        <f t="shared" si="89"/>
        <v>gmail.com</v>
      </c>
      <c r="T359" t="str">
        <f t="shared" si="90"/>
        <v>gmail</v>
      </c>
      <c r="U359" t="str">
        <f t="shared" si="91"/>
        <v>AmeliaDRamirez</v>
      </c>
      <c r="V359" t="s">
        <v>2362</v>
      </c>
      <c r="W359" t="str">
        <f t="shared" si="92"/>
        <v>760-</v>
      </c>
      <c r="X359" t="str">
        <f t="shared" si="93"/>
        <v>252</v>
      </c>
      <c r="Y359" t="str">
        <f t="shared" si="94"/>
        <v>-2755</v>
      </c>
      <c r="Z359" t="str">
        <f>SUBSTITUTE(V359,"-","|",2)</f>
        <v>760-252|2755</v>
      </c>
      <c r="AA359" t="str">
        <f>LEFT(V359,3)</f>
        <v>760</v>
      </c>
      <c r="AB359" t="str">
        <f>MID(V359,5,3)</f>
        <v>252</v>
      </c>
      <c r="AC359" t="str">
        <f>RIGHT(V359,4)</f>
        <v>2755</v>
      </c>
      <c r="AD359" s="3" t="s">
        <v>2363</v>
      </c>
      <c r="AE359" s="3" t="str">
        <f t="shared" si="95"/>
        <v>873</v>
      </c>
    </row>
    <row r="360" spans="1:31">
      <c r="A360" t="s">
        <v>2364</v>
      </c>
      <c r="B360" t="str">
        <f t="shared" si="81"/>
        <v>Crystal</v>
      </c>
      <c r="C360" t="s">
        <v>261</v>
      </c>
      <c r="D360" t="s">
        <v>1000</v>
      </c>
      <c r="E360" t="str">
        <f t="shared" si="82"/>
        <v>Hansen</v>
      </c>
      <c r="F360" t="str">
        <f t="shared" si="83"/>
        <v>CRYSTALHANSEN</v>
      </c>
      <c r="G360" t="str">
        <f t="shared" si="84"/>
        <v>CRYSTALHANSEN</v>
      </c>
      <c r="H360" t="str">
        <f t="shared" si="85"/>
        <v>CRY HANSEN</v>
      </c>
      <c r="I360" t="str">
        <f t="shared" si="86"/>
        <v>CRY.H</v>
      </c>
      <c r="J360" t="s">
        <v>32</v>
      </c>
      <c r="K360" t="s">
        <v>2365</v>
      </c>
      <c r="L360" t="s">
        <v>2366</v>
      </c>
      <c r="M360" t="s">
        <v>323</v>
      </c>
      <c r="N360">
        <v>55102</v>
      </c>
      <c r="O360" t="str">
        <f t="shared" si="87"/>
        <v>55102</v>
      </c>
      <c r="P360" t="str">
        <f t="shared" si="80"/>
        <v>1058 Bryan Avenue, Saint Paul, MN, 55102</v>
      </c>
      <c r="Q360" t="s">
        <v>2367</v>
      </c>
      <c r="R360" t="str">
        <f t="shared" si="88"/>
        <v>CrystalWHansen</v>
      </c>
      <c r="S360" t="str">
        <f t="shared" si="89"/>
        <v>aol.com</v>
      </c>
      <c r="T360" t="str">
        <f t="shared" si="90"/>
        <v>aol</v>
      </c>
      <c r="U360" t="str">
        <f t="shared" si="91"/>
        <v>CrystalWHansen</v>
      </c>
      <c r="V360" t="s">
        <v>2368</v>
      </c>
      <c r="W360" t="str">
        <f t="shared" si="92"/>
        <v>651-</v>
      </c>
      <c r="X360" t="str">
        <f t="shared" si="93"/>
        <v>310</v>
      </c>
      <c r="Y360" t="str">
        <f t="shared" si="94"/>
        <v>-5786</v>
      </c>
      <c r="Z360" t="str">
        <f>SUBSTITUTE(V360,"-","|",2)</f>
        <v>651-310|5786</v>
      </c>
      <c r="AA360" t="str">
        <f>LEFT(V360,3)</f>
        <v>651</v>
      </c>
      <c r="AB360" t="str">
        <f>MID(V360,5,3)</f>
        <v>310</v>
      </c>
      <c r="AC360" t="str">
        <f>RIGHT(V360,4)</f>
        <v>5786</v>
      </c>
      <c r="AD360" s="3" t="s">
        <v>2369</v>
      </c>
      <c r="AE360" s="3" t="str">
        <f t="shared" si="95"/>
        <v>1534</v>
      </c>
    </row>
    <row r="361" spans="1:31">
      <c r="A361" t="s">
        <v>675</v>
      </c>
      <c r="B361" t="str">
        <f t="shared" si="81"/>
        <v>Thelma</v>
      </c>
      <c r="C361" t="s">
        <v>166</v>
      </c>
      <c r="D361" t="s">
        <v>2370</v>
      </c>
      <c r="E361" t="str">
        <f t="shared" si="82"/>
        <v>Parr</v>
      </c>
      <c r="F361" t="str">
        <f t="shared" si="83"/>
        <v>THELMAPARR</v>
      </c>
      <c r="G361" t="str">
        <f t="shared" si="84"/>
        <v>THELMAPARR</v>
      </c>
      <c r="H361" t="str">
        <f t="shared" si="85"/>
        <v>THE PARR</v>
      </c>
      <c r="I361" t="str">
        <f t="shared" si="86"/>
        <v>THE.P</v>
      </c>
      <c r="J361" t="s">
        <v>32</v>
      </c>
      <c r="K361" t="s">
        <v>2371</v>
      </c>
      <c r="L361" t="s">
        <v>2372</v>
      </c>
      <c r="M361" t="s">
        <v>301</v>
      </c>
      <c r="N361">
        <v>43607</v>
      </c>
      <c r="O361" t="str">
        <f t="shared" si="87"/>
        <v>43607</v>
      </c>
      <c r="P361" t="str">
        <f t="shared" si="80"/>
        <v>775 Stonecoal Road, Toledo, OH, 43607</v>
      </c>
      <c r="Q361" t="s">
        <v>2373</v>
      </c>
      <c r="R361" t="str">
        <f t="shared" si="88"/>
        <v>ThelmaBParr</v>
      </c>
      <c r="S361" t="str">
        <f t="shared" si="89"/>
        <v>aol.com</v>
      </c>
      <c r="T361" t="str">
        <f t="shared" si="90"/>
        <v>aol</v>
      </c>
      <c r="U361" t="str">
        <f t="shared" si="91"/>
        <v>ThelmaBParr</v>
      </c>
      <c r="V361" t="s">
        <v>2374</v>
      </c>
      <c r="W361" t="str">
        <f t="shared" si="92"/>
        <v>419-</v>
      </c>
      <c r="X361" t="str">
        <f t="shared" si="93"/>
        <v>534</v>
      </c>
      <c r="Y361" t="str">
        <f t="shared" si="94"/>
        <v>-0285</v>
      </c>
      <c r="Z361" t="str">
        <f>SUBSTITUTE(V361,"-","|",2)</f>
        <v>419-534|0285</v>
      </c>
      <c r="AA361" t="str">
        <f>LEFT(V361,3)</f>
        <v>419</v>
      </c>
      <c r="AB361" t="str">
        <f>MID(V361,5,3)</f>
        <v>534</v>
      </c>
      <c r="AC361" t="str">
        <f>RIGHT(V361,4)</f>
        <v>0285</v>
      </c>
      <c r="AD361" s="3" t="s">
        <v>2375</v>
      </c>
      <c r="AE361" s="3" t="str">
        <f t="shared" si="95"/>
        <v>868</v>
      </c>
    </row>
    <row r="362" spans="1:31">
      <c r="A362" t="s">
        <v>2376</v>
      </c>
      <c r="B362" t="str">
        <f t="shared" si="81"/>
        <v>Donny</v>
      </c>
      <c r="C362" t="s">
        <v>58</v>
      </c>
      <c r="D362" t="s">
        <v>2377</v>
      </c>
      <c r="E362" t="str">
        <f t="shared" si="82"/>
        <v>Clemens</v>
      </c>
      <c r="F362" t="str">
        <f t="shared" si="83"/>
        <v>DONNYCLEMENS</v>
      </c>
      <c r="G362" t="str">
        <f t="shared" si="84"/>
        <v>DONNYCLEMENS</v>
      </c>
      <c r="H362" t="str">
        <f t="shared" si="85"/>
        <v>DON CLEMENS</v>
      </c>
      <c r="I362" t="str">
        <f t="shared" si="86"/>
        <v>DON.C</v>
      </c>
      <c r="J362" t="s">
        <v>42</v>
      </c>
      <c r="K362" t="s">
        <v>2378</v>
      </c>
      <c r="L362" t="s">
        <v>2379</v>
      </c>
      <c r="M362" t="s">
        <v>323</v>
      </c>
      <c r="N362">
        <v>55925</v>
      </c>
      <c r="O362" t="str">
        <f t="shared" si="87"/>
        <v>55925</v>
      </c>
      <c r="P362" t="str">
        <f t="shared" si="80"/>
        <v>147 Trymore Road, Dakota, MN, 55925</v>
      </c>
      <c r="Q362" t="s">
        <v>2380</v>
      </c>
      <c r="R362" t="str">
        <f t="shared" si="88"/>
        <v>DonnyMClemens</v>
      </c>
      <c r="S362" t="str">
        <f t="shared" si="89"/>
        <v>aol.com</v>
      </c>
      <c r="T362" t="str">
        <f t="shared" si="90"/>
        <v>aol</v>
      </c>
      <c r="U362" t="str">
        <f t="shared" si="91"/>
        <v>DonnyMClemens</v>
      </c>
      <c r="V362" t="s">
        <v>2381</v>
      </c>
      <c r="W362" t="str">
        <f t="shared" si="92"/>
        <v>507-</v>
      </c>
      <c r="X362" t="str">
        <f t="shared" si="93"/>
        <v>643</v>
      </c>
      <c r="Y362" t="str">
        <f t="shared" si="94"/>
        <v>-6453</v>
      </c>
      <c r="Z362" t="str">
        <f>SUBSTITUTE(V362,"-","|",2)</f>
        <v>507-643|6453</v>
      </c>
      <c r="AA362" t="str">
        <f>LEFT(V362,3)</f>
        <v>507</v>
      </c>
      <c r="AB362" t="str">
        <f>MID(V362,5,3)</f>
        <v>643</v>
      </c>
      <c r="AC362" t="str">
        <f>RIGHT(V362,4)</f>
        <v>6453</v>
      </c>
      <c r="AD362" s="3" t="s">
        <v>2382</v>
      </c>
      <c r="AE362" s="3" t="str">
        <f t="shared" si="95"/>
        <v>8161</v>
      </c>
    </row>
    <row r="363" spans="1:31">
      <c r="A363" t="s">
        <v>2383</v>
      </c>
      <c r="B363" t="str">
        <f t="shared" si="81"/>
        <v>Kimberly</v>
      </c>
      <c r="C363" t="s">
        <v>365</v>
      </c>
      <c r="D363" t="s">
        <v>2384</v>
      </c>
      <c r="E363" t="str">
        <f t="shared" si="82"/>
        <v>Warner</v>
      </c>
      <c r="F363" t="str">
        <f t="shared" si="83"/>
        <v>KIMBERLYWARNER</v>
      </c>
      <c r="G363" t="str">
        <f t="shared" si="84"/>
        <v>KIMBERLYWARNER</v>
      </c>
      <c r="H363" t="str">
        <f t="shared" si="85"/>
        <v>KIM WARNER</v>
      </c>
      <c r="I363" t="str">
        <f t="shared" si="86"/>
        <v>KIM.W</v>
      </c>
      <c r="J363" t="s">
        <v>32</v>
      </c>
      <c r="K363" t="s">
        <v>2385</v>
      </c>
      <c r="L363" t="s">
        <v>2386</v>
      </c>
      <c r="M363" t="s">
        <v>516</v>
      </c>
      <c r="N363">
        <v>46511</v>
      </c>
      <c r="O363" t="str">
        <f t="shared" si="87"/>
        <v>46511</v>
      </c>
      <c r="P363" t="str">
        <f t="shared" si="80"/>
        <v>468 Sand Fork Road, Culver, IN, 46511</v>
      </c>
      <c r="Q363" t="s">
        <v>2387</v>
      </c>
      <c r="R363" t="str">
        <f t="shared" si="88"/>
        <v>KimberlyGWarner</v>
      </c>
      <c r="S363" t="str">
        <f t="shared" si="89"/>
        <v>gmail.com</v>
      </c>
      <c r="T363" t="str">
        <f t="shared" si="90"/>
        <v>gmail</v>
      </c>
      <c r="U363" t="str">
        <f t="shared" si="91"/>
        <v>KimberlyGWarner</v>
      </c>
      <c r="V363" t="s">
        <v>2388</v>
      </c>
      <c r="W363" t="str">
        <f t="shared" si="92"/>
        <v>574-</v>
      </c>
      <c r="X363" t="str">
        <f t="shared" si="93"/>
        <v>842</v>
      </c>
      <c r="Y363" t="str">
        <f t="shared" si="94"/>
        <v>-3766</v>
      </c>
      <c r="Z363" t="str">
        <f>SUBSTITUTE(V363,"-","|",2)</f>
        <v>574-842|3766</v>
      </c>
      <c r="AA363" t="str">
        <f>LEFT(V363,3)</f>
        <v>574</v>
      </c>
      <c r="AB363" t="str">
        <f>MID(V363,5,3)</f>
        <v>842</v>
      </c>
      <c r="AC363" t="str">
        <f>RIGHT(V363,4)</f>
        <v>3766</v>
      </c>
      <c r="AD363" s="3" t="s">
        <v>2389</v>
      </c>
      <c r="AE363" s="3" t="str">
        <f t="shared" si="95"/>
        <v>2516</v>
      </c>
    </row>
    <row r="364" spans="1:31">
      <c r="A364" t="s">
        <v>471</v>
      </c>
      <c r="B364" t="str">
        <f t="shared" si="81"/>
        <v>David</v>
      </c>
      <c r="C364" t="s">
        <v>343</v>
      </c>
      <c r="D364" t="s">
        <v>2390</v>
      </c>
      <c r="E364" t="str">
        <f t="shared" si="82"/>
        <v>Middleton</v>
      </c>
      <c r="F364" t="str">
        <f t="shared" si="83"/>
        <v>DAVIDMIDDLETON</v>
      </c>
      <c r="G364" t="str">
        <f t="shared" si="84"/>
        <v>DAVIDMIDDLETON</v>
      </c>
      <c r="H364" t="str">
        <f t="shared" si="85"/>
        <v>DAV MIDDLETON</v>
      </c>
      <c r="I364" t="str">
        <f t="shared" si="86"/>
        <v>DAV.M</v>
      </c>
      <c r="J364" t="s">
        <v>42</v>
      </c>
      <c r="K364" t="s">
        <v>2391</v>
      </c>
      <c r="L364" t="s">
        <v>2392</v>
      </c>
      <c r="M364" t="s">
        <v>35</v>
      </c>
      <c r="N364">
        <v>60527</v>
      </c>
      <c r="O364" t="str">
        <f t="shared" si="87"/>
        <v>60527</v>
      </c>
      <c r="P364" t="str">
        <f t="shared" si="80"/>
        <v>3692 Hog Camp Road, Burr Ridge, IL, 60527</v>
      </c>
      <c r="Q364" t="s">
        <v>2393</v>
      </c>
      <c r="R364" t="str">
        <f t="shared" si="88"/>
        <v>DavidLMiddleton</v>
      </c>
      <c r="S364" t="str">
        <f t="shared" si="89"/>
        <v>gmail.com</v>
      </c>
      <c r="T364" t="str">
        <f t="shared" si="90"/>
        <v>gmail</v>
      </c>
      <c r="U364" t="str">
        <f t="shared" si="91"/>
        <v>DavidLMiddleton</v>
      </c>
      <c r="V364" t="s">
        <v>2394</v>
      </c>
      <c r="W364" t="str">
        <f t="shared" si="92"/>
        <v>708-</v>
      </c>
      <c r="X364" t="str">
        <f t="shared" si="93"/>
        <v>440</v>
      </c>
      <c r="Y364" t="str">
        <f t="shared" si="94"/>
        <v>-1717</v>
      </c>
      <c r="Z364" t="str">
        <f>SUBSTITUTE(V364,"-","|",2)</f>
        <v>708-440|1717</v>
      </c>
      <c r="AA364" t="str">
        <f>LEFT(V364,3)</f>
        <v>708</v>
      </c>
      <c r="AB364" t="str">
        <f>MID(V364,5,3)</f>
        <v>440</v>
      </c>
      <c r="AC364" t="str">
        <f>RIGHT(V364,4)</f>
        <v>1717</v>
      </c>
      <c r="AD364" s="3" t="s">
        <v>2395</v>
      </c>
      <c r="AE364" s="3" t="str">
        <f t="shared" si="95"/>
        <v>4032</v>
      </c>
    </row>
    <row r="365" spans="1:31">
      <c r="A365" t="s">
        <v>251</v>
      </c>
      <c r="B365" t="str">
        <f t="shared" si="81"/>
        <v>Robert</v>
      </c>
      <c r="C365" t="s">
        <v>30</v>
      </c>
      <c r="D365" t="s">
        <v>1337</v>
      </c>
      <c r="E365" t="str">
        <f t="shared" si="82"/>
        <v>Martin</v>
      </c>
      <c r="F365" t="str">
        <f t="shared" si="83"/>
        <v>ROBERTMARTIN</v>
      </c>
      <c r="G365" t="str">
        <f t="shared" si="84"/>
        <v>ROBERTMARTIN</v>
      </c>
      <c r="H365" t="str">
        <f t="shared" si="85"/>
        <v>ROB MARTIN</v>
      </c>
      <c r="I365" t="str">
        <f t="shared" si="86"/>
        <v>ROB.M</v>
      </c>
      <c r="J365" t="s">
        <v>42</v>
      </c>
      <c r="K365" t="s">
        <v>2396</v>
      </c>
      <c r="L365" t="s">
        <v>2397</v>
      </c>
      <c r="M365" t="s">
        <v>45</v>
      </c>
      <c r="N365">
        <v>91505</v>
      </c>
      <c r="O365" t="str">
        <f t="shared" si="87"/>
        <v>91505</v>
      </c>
      <c r="P365" t="str">
        <f t="shared" si="80"/>
        <v>1671 Angie Drive, Burbank, CA, 91505</v>
      </c>
      <c r="Q365" t="s">
        <v>2398</v>
      </c>
      <c r="R365" t="str">
        <f t="shared" si="88"/>
        <v>RobertJMartin</v>
      </c>
      <c r="S365" t="str">
        <f t="shared" si="89"/>
        <v>gmail.com</v>
      </c>
      <c r="T365" t="str">
        <f t="shared" si="90"/>
        <v>gmail</v>
      </c>
      <c r="U365" t="str">
        <f t="shared" si="91"/>
        <v>RobertJMartin</v>
      </c>
      <c r="V365" t="s">
        <v>2399</v>
      </c>
      <c r="W365" t="str">
        <f t="shared" si="92"/>
        <v>714-</v>
      </c>
      <c r="X365" t="str">
        <f t="shared" si="93"/>
        <v>932</v>
      </c>
      <c r="Y365" t="str">
        <f t="shared" si="94"/>
        <v>-0522</v>
      </c>
      <c r="Z365" t="str">
        <f>SUBSTITUTE(V365,"-","|",2)</f>
        <v>714-932|0522</v>
      </c>
      <c r="AA365" t="str">
        <f>LEFT(V365,3)</f>
        <v>714</v>
      </c>
      <c r="AB365" t="str">
        <f>MID(V365,5,3)</f>
        <v>932</v>
      </c>
      <c r="AC365" t="str">
        <f>RIGHT(V365,4)</f>
        <v>0522</v>
      </c>
      <c r="AD365" s="3" t="s">
        <v>2400</v>
      </c>
      <c r="AE365" s="3" t="str">
        <f t="shared" si="95"/>
        <v>6165</v>
      </c>
    </row>
    <row r="366" spans="1:31">
      <c r="A366" t="s">
        <v>1193</v>
      </c>
      <c r="B366" t="str">
        <f t="shared" si="81"/>
        <v>Anita</v>
      </c>
      <c r="C366" t="s">
        <v>30</v>
      </c>
      <c r="D366" t="s">
        <v>2401</v>
      </c>
      <c r="E366" t="str">
        <f t="shared" si="82"/>
        <v>Gil</v>
      </c>
      <c r="F366" t="str">
        <f t="shared" si="83"/>
        <v>ANITAGIL</v>
      </c>
      <c r="G366" t="str">
        <f t="shared" si="84"/>
        <v>ANITAGIL</v>
      </c>
      <c r="H366" t="str">
        <f t="shared" si="85"/>
        <v>ANI GIL</v>
      </c>
      <c r="I366" t="str">
        <f t="shared" si="86"/>
        <v>ANI.G</v>
      </c>
      <c r="J366" t="s">
        <v>32</v>
      </c>
      <c r="K366" t="s">
        <v>2402</v>
      </c>
      <c r="L366" t="s">
        <v>474</v>
      </c>
      <c r="M366" t="s">
        <v>104</v>
      </c>
      <c r="N366">
        <v>13202</v>
      </c>
      <c r="O366" t="str">
        <f t="shared" si="87"/>
        <v>13202</v>
      </c>
      <c r="P366" t="str">
        <f t="shared" si="80"/>
        <v>3542 Saint Marys Avenue, Syracuse, NY, 13202</v>
      </c>
      <c r="Q366" t="s">
        <v>2403</v>
      </c>
      <c r="R366" t="str">
        <f t="shared" si="88"/>
        <v>AnitaJGil</v>
      </c>
      <c r="S366" t="str">
        <f t="shared" si="89"/>
        <v>aol.com</v>
      </c>
      <c r="T366" t="str">
        <f t="shared" si="90"/>
        <v>aol</v>
      </c>
      <c r="U366" t="str">
        <f t="shared" si="91"/>
        <v>AnitaJGil</v>
      </c>
      <c r="V366" t="s">
        <v>2404</v>
      </c>
      <c r="W366" t="str">
        <f t="shared" si="92"/>
        <v>315-</v>
      </c>
      <c r="X366" t="str">
        <f t="shared" si="93"/>
        <v>856</v>
      </c>
      <c r="Y366" t="str">
        <f t="shared" si="94"/>
        <v>-9029</v>
      </c>
      <c r="Z366" t="str">
        <f>SUBSTITUTE(V366,"-","|",2)</f>
        <v>315-856|9029</v>
      </c>
      <c r="AA366" t="str">
        <f>LEFT(V366,3)</f>
        <v>315</v>
      </c>
      <c r="AB366" t="str">
        <f>MID(V366,5,3)</f>
        <v>856</v>
      </c>
      <c r="AC366" t="str">
        <f>RIGHT(V366,4)</f>
        <v>9029</v>
      </c>
      <c r="AD366" s="3" t="s">
        <v>2405</v>
      </c>
      <c r="AE366" s="3" t="str">
        <f t="shared" si="95"/>
        <v>6875</v>
      </c>
    </row>
    <row r="367" spans="1:31">
      <c r="A367" t="s">
        <v>661</v>
      </c>
      <c r="B367" t="str">
        <f t="shared" si="81"/>
        <v>Eduardo</v>
      </c>
      <c r="C367" t="s">
        <v>297</v>
      </c>
      <c r="D367" t="s">
        <v>2406</v>
      </c>
      <c r="E367" t="str">
        <f t="shared" si="82"/>
        <v>Kenney</v>
      </c>
      <c r="F367" t="str">
        <f t="shared" si="83"/>
        <v>EDUARDOKENNEY</v>
      </c>
      <c r="G367" t="str">
        <f t="shared" si="84"/>
        <v>EDUARDOKENNEY</v>
      </c>
      <c r="H367" t="str">
        <f t="shared" si="85"/>
        <v>EDU KENNEY</v>
      </c>
      <c r="I367" t="str">
        <f t="shared" si="86"/>
        <v>EDU.K</v>
      </c>
      <c r="J367" t="s">
        <v>42</v>
      </c>
      <c r="K367" t="s">
        <v>2407</v>
      </c>
      <c r="L367" t="s">
        <v>2408</v>
      </c>
      <c r="M367" t="s">
        <v>265</v>
      </c>
      <c r="N367">
        <v>2146</v>
      </c>
      <c r="O367" t="str">
        <f t="shared" si="87"/>
        <v>02146</v>
      </c>
      <c r="P367" t="str">
        <f t="shared" si="80"/>
        <v>1364 Rainy Day Drive, Brookline, MA, 2146</v>
      </c>
      <c r="Q367" t="s">
        <v>2409</v>
      </c>
      <c r="R367" t="str">
        <f t="shared" si="88"/>
        <v>EduardoTKenney</v>
      </c>
      <c r="S367" t="str">
        <f t="shared" si="89"/>
        <v>gmail.com</v>
      </c>
      <c r="T367" t="str">
        <f t="shared" si="90"/>
        <v>gmail</v>
      </c>
      <c r="U367" t="str">
        <f t="shared" si="91"/>
        <v>EduardoTKenney</v>
      </c>
      <c r="V367" t="s">
        <v>2410</v>
      </c>
      <c r="W367" t="str">
        <f t="shared" si="92"/>
        <v>617-</v>
      </c>
      <c r="X367" t="str">
        <f t="shared" si="93"/>
        <v>975</v>
      </c>
      <c r="Y367" t="str">
        <f t="shared" si="94"/>
        <v>-4477</v>
      </c>
      <c r="Z367" t="str">
        <f>SUBSTITUTE(V367,"-","|",2)</f>
        <v>617-975|4477</v>
      </c>
      <c r="AA367" t="str">
        <f>LEFT(V367,3)</f>
        <v>617</v>
      </c>
      <c r="AB367" t="str">
        <f>MID(V367,5,3)</f>
        <v>975</v>
      </c>
      <c r="AC367" t="str">
        <f>RIGHT(V367,4)</f>
        <v>4477</v>
      </c>
      <c r="AD367" s="3" t="s">
        <v>2411</v>
      </c>
      <c r="AE367" s="3" t="str">
        <f t="shared" si="95"/>
        <v>902</v>
      </c>
    </row>
    <row r="368" spans="1:31">
      <c r="A368" t="s">
        <v>2412</v>
      </c>
      <c r="B368" t="str">
        <f t="shared" si="81"/>
        <v>Timothy</v>
      </c>
      <c r="C368" t="s">
        <v>297</v>
      </c>
      <c r="D368" t="s">
        <v>2413</v>
      </c>
      <c r="E368" t="str">
        <f t="shared" si="82"/>
        <v>Osorio</v>
      </c>
      <c r="F368" t="str">
        <f t="shared" si="83"/>
        <v>TIMOTHYOSORIO</v>
      </c>
      <c r="G368" t="str">
        <f t="shared" si="84"/>
        <v>TIMOTHYOSORIO</v>
      </c>
      <c r="H368" t="str">
        <f t="shared" si="85"/>
        <v>TIM OSORIO</v>
      </c>
      <c r="I368" t="str">
        <f t="shared" si="86"/>
        <v>TIM.O</v>
      </c>
      <c r="J368" t="s">
        <v>42</v>
      </c>
      <c r="K368" t="s">
        <v>2414</v>
      </c>
      <c r="L368" t="s">
        <v>2415</v>
      </c>
      <c r="M368" t="s">
        <v>62</v>
      </c>
      <c r="N368">
        <v>23607</v>
      </c>
      <c r="O368" t="str">
        <f t="shared" si="87"/>
        <v>23607</v>
      </c>
      <c r="P368" t="str">
        <f t="shared" si="80"/>
        <v>1366 Allison Avenue, Newport News, VA, 23607</v>
      </c>
      <c r="Q368" t="s">
        <v>2416</v>
      </c>
      <c r="R368" t="str">
        <f t="shared" si="88"/>
        <v>TimothyTOsorio</v>
      </c>
      <c r="S368" t="str">
        <f t="shared" si="89"/>
        <v>gmail.com</v>
      </c>
      <c r="T368" t="str">
        <f t="shared" si="90"/>
        <v>gmail</v>
      </c>
      <c r="U368" t="str">
        <f t="shared" si="91"/>
        <v>TimothyTOsorio</v>
      </c>
      <c r="V368" t="s">
        <v>2417</v>
      </c>
      <c r="W368" t="str">
        <f t="shared" si="92"/>
        <v>757-</v>
      </c>
      <c r="X368" t="str">
        <f t="shared" si="93"/>
        <v>575</v>
      </c>
      <c r="Y368" t="str">
        <f t="shared" si="94"/>
        <v>-7593</v>
      </c>
      <c r="Z368" t="str">
        <f>SUBSTITUTE(V368,"-","|",2)</f>
        <v>757-575|7593</v>
      </c>
      <c r="AA368" t="str">
        <f>LEFT(V368,3)</f>
        <v>757</v>
      </c>
      <c r="AB368" t="str">
        <f>MID(V368,5,3)</f>
        <v>575</v>
      </c>
      <c r="AC368" t="str">
        <f>RIGHT(V368,4)</f>
        <v>7593</v>
      </c>
      <c r="AD368" s="3" t="s">
        <v>2418</v>
      </c>
      <c r="AE368" s="3" t="str">
        <f t="shared" si="95"/>
        <v>568</v>
      </c>
    </row>
    <row r="369" spans="1:31">
      <c r="A369" t="s">
        <v>2419</v>
      </c>
      <c r="B369" t="str">
        <f t="shared" si="81"/>
        <v>Rose</v>
      </c>
      <c r="C369" t="s">
        <v>67</v>
      </c>
      <c r="D369" t="s">
        <v>2420</v>
      </c>
      <c r="E369" t="str">
        <f t="shared" si="82"/>
        <v>Saenz</v>
      </c>
      <c r="F369" t="str">
        <f t="shared" si="83"/>
        <v>ROSESAENZ</v>
      </c>
      <c r="G369" t="str">
        <f t="shared" si="84"/>
        <v>ROSESAENZ</v>
      </c>
      <c r="H369" t="str">
        <f t="shared" si="85"/>
        <v>ROS SAENZ</v>
      </c>
      <c r="I369" t="str">
        <f t="shared" si="86"/>
        <v>ROS.S</v>
      </c>
      <c r="J369" t="s">
        <v>32</v>
      </c>
      <c r="K369" t="s">
        <v>2421</v>
      </c>
      <c r="L369" t="s">
        <v>111</v>
      </c>
      <c r="M369" t="s">
        <v>104</v>
      </c>
      <c r="N369">
        <v>12207</v>
      </c>
      <c r="O369" t="str">
        <f t="shared" si="87"/>
        <v>12207</v>
      </c>
      <c r="P369" t="str">
        <f t="shared" si="80"/>
        <v>3620 Joes Road, Albany, NY, 12207</v>
      </c>
      <c r="Q369" t="s">
        <v>2422</v>
      </c>
      <c r="R369" t="str">
        <f t="shared" si="88"/>
        <v>RoseDSaenz</v>
      </c>
      <c r="S369" t="str">
        <f t="shared" si="89"/>
        <v>aol.com</v>
      </c>
      <c r="T369" t="str">
        <f t="shared" si="90"/>
        <v>aol</v>
      </c>
      <c r="U369" t="str">
        <f t="shared" si="91"/>
        <v>RoseDSaenz</v>
      </c>
      <c r="V369" t="s">
        <v>2423</v>
      </c>
      <c r="W369" t="str">
        <f t="shared" si="92"/>
        <v>518-</v>
      </c>
      <c r="X369" t="str">
        <f t="shared" si="93"/>
        <v>752</v>
      </c>
      <c r="Y369" t="str">
        <f t="shared" si="94"/>
        <v>-8401</v>
      </c>
      <c r="Z369" t="str">
        <f>SUBSTITUTE(V369,"-","|",2)</f>
        <v>518-752|8401</v>
      </c>
      <c r="AA369" t="str">
        <f>LEFT(V369,3)</f>
        <v>518</v>
      </c>
      <c r="AB369" t="str">
        <f>MID(V369,5,3)</f>
        <v>752</v>
      </c>
      <c r="AC369" t="str">
        <f>RIGHT(V369,4)</f>
        <v>8401</v>
      </c>
      <c r="AD369" s="3" t="s">
        <v>2424</v>
      </c>
      <c r="AE369" s="3" t="str">
        <f t="shared" si="95"/>
        <v>1221</v>
      </c>
    </row>
    <row r="370" spans="1:31">
      <c r="A370" t="s">
        <v>915</v>
      </c>
      <c r="B370" t="str">
        <f t="shared" si="81"/>
        <v>Christopher</v>
      </c>
      <c r="C370" t="s">
        <v>166</v>
      </c>
      <c r="D370" t="s">
        <v>2425</v>
      </c>
      <c r="E370" t="str">
        <f t="shared" si="82"/>
        <v>Polk</v>
      </c>
      <c r="F370" t="str">
        <f t="shared" si="83"/>
        <v>CHRISTOPHERPOLK</v>
      </c>
      <c r="G370" t="str">
        <f t="shared" si="84"/>
        <v>CHRISTOPHERPOLK</v>
      </c>
      <c r="H370" t="str">
        <f t="shared" si="85"/>
        <v>CHR POLK</v>
      </c>
      <c r="I370" t="str">
        <f t="shared" si="86"/>
        <v>CHR.P</v>
      </c>
      <c r="J370" t="s">
        <v>42</v>
      </c>
      <c r="K370" t="s">
        <v>2426</v>
      </c>
      <c r="L370" t="s">
        <v>2427</v>
      </c>
      <c r="M370" t="s">
        <v>1020</v>
      </c>
      <c r="N370">
        <v>29720</v>
      </c>
      <c r="O370" t="str">
        <f t="shared" si="87"/>
        <v>29720</v>
      </c>
      <c r="P370" t="str">
        <f t="shared" si="80"/>
        <v>508 Wexford Way, Lancaster, SC, 29720</v>
      </c>
      <c r="Q370" t="s">
        <v>2428</v>
      </c>
      <c r="R370" t="str">
        <f t="shared" si="88"/>
        <v>ChristopherBPolk</v>
      </c>
      <c r="S370" t="str">
        <f t="shared" si="89"/>
        <v>gmail.com</v>
      </c>
      <c r="T370" t="str">
        <f t="shared" si="90"/>
        <v>gmail</v>
      </c>
      <c r="U370" t="str">
        <f t="shared" si="91"/>
        <v>ChristopherBPolk</v>
      </c>
      <c r="V370" t="s">
        <v>2429</v>
      </c>
      <c r="W370" t="str">
        <f t="shared" si="92"/>
        <v>803-</v>
      </c>
      <c r="X370" t="str">
        <f t="shared" si="93"/>
        <v>273</v>
      </c>
      <c r="Y370" t="str">
        <f t="shared" si="94"/>
        <v>-3808</v>
      </c>
      <c r="Z370" t="str">
        <f>SUBSTITUTE(V370,"-","|",2)</f>
        <v>803-273|3808</v>
      </c>
      <c r="AA370" t="str">
        <f>LEFT(V370,3)</f>
        <v>803</v>
      </c>
      <c r="AB370" t="str">
        <f>MID(V370,5,3)</f>
        <v>273</v>
      </c>
      <c r="AC370" t="str">
        <f>RIGHT(V370,4)</f>
        <v>3808</v>
      </c>
      <c r="AD370" s="3" t="s">
        <v>2430</v>
      </c>
      <c r="AE370" s="3" t="str">
        <f t="shared" si="95"/>
        <v>877</v>
      </c>
    </row>
    <row r="371" spans="1:31">
      <c r="A371" t="s">
        <v>2431</v>
      </c>
      <c r="B371" t="str">
        <f t="shared" si="81"/>
        <v>Alvin</v>
      </c>
      <c r="C371" t="s">
        <v>40</v>
      </c>
      <c r="D371" t="s">
        <v>2432</v>
      </c>
      <c r="E371" t="str">
        <f t="shared" si="82"/>
        <v>Pruett</v>
      </c>
      <c r="F371" t="str">
        <f t="shared" si="83"/>
        <v>ALVINPRUETT</v>
      </c>
      <c r="G371" t="str">
        <f t="shared" si="84"/>
        <v>ALVINPRUETT</v>
      </c>
      <c r="H371" t="str">
        <f t="shared" si="85"/>
        <v>ALV PRUETT</v>
      </c>
      <c r="I371" t="str">
        <f t="shared" si="86"/>
        <v>ALV.P</v>
      </c>
      <c r="J371" t="s">
        <v>42</v>
      </c>
      <c r="K371" t="s">
        <v>2433</v>
      </c>
      <c r="L371" t="s">
        <v>2434</v>
      </c>
      <c r="M371" t="s">
        <v>1354</v>
      </c>
      <c r="N371">
        <v>59644</v>
      </c>
      <c r="O371" t="str">
        <f t="shared" si="87"/>
        <v>59644</v>
      </c>
      <c r="P371" t="str">
        <f t="shared" si="80"/>
        <v>4360 Richison Drive, Townsend, MT, 59644</v>
      </c>
      <c r="Q371" t="s">
        <v>2435</v>
      </c>
      <c r="R371" t="str">
        <f t="shared" si="88"/>
        <v>AlvinSPruett</v>
      </c>
      <c r="S371" t="str">
        <f t="shared" si="89"/>
        <v>hotmail.com</v>
      </c>
      <c r="T371" t="str">
        <f t="shared" si="90"/>
        <v>hotmail</v>
      </c>
      <c r="U371" t="str">
        <f t="shared" si="91"/>
        <v>AlvinSPruett</v>
      </c>
      <c r="V371" t="s">
        <v>2436</v>
      </c>
      <c r="W371" t="str">
        <f t="shared" si="92"/>
        <v>406-</v>
      </c>
      <c r="X371" t="str">
        <f t="shared" si="93"/>
        <v>266</v>
      </c>
      <c r="Y371" t="str">
        <f t="shared" si="94"/>
        <v>-4315</v>
      </c>
      <c r="Z371" t="str">
        <f>SUBSTITUTE(V371,"-","|",2)</f>
        <v>406-266|4315</v>
      </c>
      <c r="AA371" t="str">
        <f>LEFT(V371,3)</f>
        <v>406</v>
      </c>
      <c r="AB371" t="str">
        <f>MID(V371,5,3)</f>
        <v>266</v>
      </c>
      <c r="AC371" t="str">
        <f>RIGHT(V371,4)</f>
        <v>4315</v>
      </c>
      <c r="AD371" s="3" t="s">
        <v>2437</v>
      </c>
      <c r="AE371" s="3" t="str">
        <f t="shared" si="95"/>
        <v>492</v>
      </c>
    </row>
    <row r="372" spans="1:31">
      <c r="A372" t="s">
        <v>654</v>
      </c>
      <c r="B372" t="str">
        <f t="shared" si="81"/>
        <v>Michael</v>
      </c>
      <c r="C372" t="s">
        <v>40</v>
      </c>
      <c r="D372" t="s">
        <v>1038</v>
      </c>
      <c r="E372" t="str">
        <f t="shared" si="82"/>
        <v>Hughes</v>
      </c>
      <c r="F372" t="str">
        <f t="shared" si="83"/>
        <v>MICHAELHUGHES</v>
      </c>
      <c r="G372" t="str">
        <f t="shared" si="84"/>
        <v>MICHAELHUGHES</v>
      </c>
      <c r="H372" t="str">
        <f t="shared" si="85"/>
        <v>MIC HUGHES</v>
      </c>
      <c r="I372" t="str">
        <f t="shared" si="86"/>
        <v>MIC.H</v>
      </c>
      <c r="J372" t="s">
        <v>42</v>
      </c>
      <c r="K372" t="s">
        <v>2438</v>
      </c>
      <c r="L372" t="s">
        <v>2439</v>
      </c>
      <c r="M372" t="s">
        <v>200</v>
      </c>
      <c r="N372">
        <v>33178</v>
      </c>
      <c r="O372" t="str">
        <f t="shared" si="87"/>
        <v>33178</v>
      </c>
      <c r="P372" t="str">
        <f t="shared" si="80"/>
        <v>1425 Golden Street, Doral, FL, 33178</v>
      </c>
      <c r="Q372" t="s">
        <v>2440</v>
      </c>
      <c r="R372" t="str">
        <f t="shared" si="88"/>
        <v>MichaelSHughes</v>
      </c>
      <c r="S372" t="str">
        <f t="shared" si="89"/>
        <v>gmail.com</v>
      </c>
      <c r="T372" t="str">
        <f t="shared" si="90"/>
        <v>gmail</v>
      </c>
      <c r="U372" t="str">
        <f t="shared" si="91"/>
        <v>MichaelSHughes</v>
      </c>
      <c r="V372" t="s">
        <v>2441</v>
      </c>
      <c r="W372" t="str">
        <f t="shared" si="92"/>
        <v>305-</v>
      </c>
      <c r="X372" t="str">
        <f t="shared" si="93"/>
        <v>697</v>
      </c>
      <c r="Y372" t="str">
        <f t="shared" si="94"/>
        <v>-3467</v>
      </c>
      <c r="Z372" t="str">
        <f>SUBSTITUTE(V372,"-","|",2)</f>
        <v>305-697|3467</v>
      </c>
      <c r="AA372" t="str">
        <f>LEFT(V372,3)</f>
        <v>305</v>
      </c>
      <c r="AB372" t="str">
        <f>MID(V372,5,3)</f>
        <v>697</v>
      </c>
      <c r="AC372" t="str">
        <f>RIGHT(V372,4)</f>
        <v>3467</v>
      </c>
      <c r="AD372" s="3" t="s">
        <v>2442</v>
      </c>
      <c r="AE372" s="3" t="str">
        <f t="shared" si="95"/>
        <v>5346</v>
      </c>
    </row>
    <row r="373" spans="1:31">
      <c r="A373" t="s">
        <v>1381</v>
      </c>
      <c r="B373" t="str">
        <f t="shared" si="81"/>
        <v>Darryl</v>
      </c>
      <c r="C373" t="s">
        <v>58</v>
      </c>
      <c r="D373" t="s">
        <v>2443</v>
      </c>
      <c r="E373" t="str">
        <f t="shared" si="82"/>
        <v>Kim</v>
      </c>
      <c r="F373" t="str">
        <f t="shared" si="83"/>
        <v>DARRYLKIM</v>
      </c>
      <c r="G373" t="str">
        <f t="shared" si="84"/>
        <v>DARRYLKIM</v>
      </c>
      <c r="H373" t="str">
        <f t="shared" si="85"/>
        <v>DAR KIM</v>
      </c>
      <c r="I373" t="str">
        <f t="shared" si="86"/>
        <v>DAR.K</v>
      </c>
      <c r="J373" t="s">
        <v>42</v>
      </c>
      <c r="K373" t="s">
        <v>2444</v>
      </c>
      <c r="L373" t="s">
        <v>2392</v>
      </c>
      <c r="M373" t="s">
        <v>35</v>
      </c>
      <c r="N373">
        <v>60527</v>
      </c>
      <c r="O373" t="str">
        <f t="shared" si="87"/>
        <v>60527</v>
      </c>
      <c r="P373" t="str">
        <f t="shared" si="80"/>
        <v>220 Bingamon Branch Road, Burr Ridge, IL, 60527</v>
      </c>
      <c r="Q373" t="s">
        <v>2445</v>
      </c>
      <c r="R373" t="str">
        <f t="shared" si="88"/>
        <v>DarrylMKim</v>
      </c>
      <c r="S373" t="str">
        <f t="shared" si="89"/>
        <v>hotmail.com</v>
      </c>
      <c r="T373" t="str">
        <f t="shared" si="90"/>
        <v>hotmail</v>
      </c>
      <c r="U373" t="str">
        <f t="shared" si="91"/>
        <v>DarrylMKim</v>
      </c>
      <c r="V373" t="s">
        <v>2446</v>
      </c>
      <c r="W373" t="str">
        <f t="shared" si="92"/>
        <v>847-</v>
      </c>
      <c r="X373" t="str">
        <f t="shared" si="93"/>
        <v>225</v>
      </c>
      <c r="Y373" t="str">
        <f t="shared" si="94"/>
        <v>-1558</v>
      </c>
      <c r="Z373" t="str">
        <f>SUBSTITUTE(V373,"-","|",2)</f>
        <v>847-225|1558</v>
      </c>
      <c r="AA373" t="str">
        <f>LEFT(V373,3)</f>
        <v>847</v>
      </c>
      <c r="AB373" t="str">
        <f>MID(V373,5,3)</f>
        <v>225</v>
      </c>
      <c r="AC373" t="str">
        <f>RIGHT(V373,4)</f>
        <v>1558</v>
      </c>
      <c r="AD373" s="3" t="s">
        <v>2447</v>
      </c>
      <c r="AE373" s="3" t="str">
        <f t="shared" si="95"/>
        <v>5101</v>
      </c>
    </row>
    <row r="374" spans="1:31">
      <c r="A374" t="s">
        <v>2121</v>
      </c>
      <c r="B374" t="str">
        <f t="shared" si="81"/>
        <v>Lee</v>
      </c>
      <c r="C374" t="s">
        <v>30</v>
      </c>
      <c r="D374" t="s">
        <v>2448</v>
      </c>
      <c r="E374" t="str">
        <f t="shared" si="82"/>
        <v>Lefebre</v>
      </c>
      <c r="F374" t="str">
        <f t="shared" si="83"/>
        <v>LEELEFEBRE</v>
      </c>
      <c r="G374" t="str">
        <f t="shared" si="84"/>
        <v>LEELEFEBRE</v>
      </c>
      <c r="H374" t="str">
        <f t="shared" si="85"/>
        <v>LEE LEFEBRE</v>
      </c>
      <c r="I374" t="str">
        <f t="shared" si="86"/>
        <v>LEE.L</v>
      </c>
      <c r="J374" t="s">
        <v>42</v>
      </c>
      <c r="K374" t="s">
        <v>2449</v>
      </c>
      <c r="L374" t="s">
        <v>858</v>
      </c>
      <c r="M374" t="s">
        <v>1419</v>
      </c>
      <c r="N374">
        <v>19146</v>
      </c>
      <c r="O374" t="str">
        <f t="shared" si="87"/>
        <v>19146</v>
      </c>
      <c r="P374" t="str">
        <f t="shared" si="80"/>
        <v>979 Columbia Road, Philadelphia, DE, 19146</v>
      </c>
      <c r="Q374" t="s">
        <v>2450</v>
      </c>
      <c r="R374" t="str">
        <f t="shared" si="88"/>
        <v>LeeJLefebre</v>
      </c>
      <c r="S374" t="str">
        <f t="shared" si="89"/>
        <v>aol.com</v>
      </c>
      <c r="T374" t="str">
        <f t="shared" si="90"/>
        <v>aol</v>
      </c>
      <c r="U374" t="str">
        <f t="shared" si="91"/>
        <v>LeeJLefebre</v>
      </c>
      <c r="V374" t="s">
        <v>2451</v>
      </c>
      <c r="W374" t="str">
        <f t="shared" si="92"/>
        <v>302-</v>
      </c>
      <c r="X374" t="str">
        <f t="shared" si="93"/>
        <v>930</v>
      </c>
      <c r="Y374" t="str">
        <f t="shared" si="94"/>
        <v>-4106</v>
      </c>
      <c r="Z374" t="str">
        <f>SUBSTITUTE(V374,"-","|",2)</f>
        <v>302-930|4106</v>
      </c>
      <c r="AA374" t="str">
        <f>LEFT(V374,3)</f>
        <v>302</v>
      </c>
      <c r="AB374" t="str">
        <f>MID(V374,5,3)</f>
        <v>930</v>
      </c>
      <c r="AC374" t="str">
        <f>RIGHT(V374,4)</f>
        <v>4106</v>
      </c>
      <c r="AD374" s="3" t="s">
        <v>2452</v>
      </c>
      <c r="AE374" s="3" t="str">
        <f t="shared" si="95"/>
        <v>867</v>
      </c>
    </row>
    <row r="375" spans="1:31">
      <c r="A375" t="s">
        <v>2453</v>
      </c>
      <c r="B375" t="str">
        <f t="shared" si="81"/>
        <v>Latricia</v>
      </c>
      <c r="C375" t="s">
        <v>67</v>
      </c>
      <c r="D375" t="s">
        <v>2454</v>
      </c>
      <c r="E375" t="str">
        <f t="shared" si="82"/>
        <v>Cox</v>
      </c>
      <c r="F375" t="str">
        <f t="shared" si="83"/>
        <v>LATRICIACOX</v>
      </c>
      <c r="G375" t="str">
        <f t="shared" si="84"/>
        <v>LATRICIACOX</v>
      </c>
      <c r="H375" t="str">
        <f t="shared" si="85"/>
        <v>LAT COX</v>
      </c>
      <c r="I375" t="str">
        <f t="shared" si="86"/>
        <v>LAT.C</v>
      </c>
      <c r="J375" t="s">
        <v>32</v>
      </c>
      <c r="K375" t="s">
        <v>2455</v>
      </c>
      <c r="L375" t="s">
        <v>1157</v>
      </c>
      <c r="M375" t="s">
        <v>104</v>
      </c>
      <c r="N375">
        <v>10005</v>
      </c>
      <c r="O375" t="str">
        <f t="shared" si="87"/>
        <v>10005</v>
      </c>
      <c r="P375" t="str">
        <f t="shared" si="80"/>
        <v>95 Southern Street, New York, NY, 10005</v>
      </c>
      <c r="Q375" t="s">
        <v>2456</v>
      </c>
      <c r="R375" t="str">
        <f t="shared" si="88"/>
        <v>LatriciaDCox</v>
      </c>
      <c r="S375" t="str">
        <f t="shared" si="89"/>
        <v>aol.com</v>
      </c>
      <c r="T375" t="str">
        <f t="shared" si="90"/>
        <v>aol</v>
      </c>
      <c r="U375" t="str">
        <f t="shared" si="91"/>
        <v>LatriciaDCox</v>
      </c>
      <c r="V375" t="s">
        <v>2457</v>
      </c>
      <c r="W375" t="str">
        <f t="shared" si="92"/>
        <v>516-</v>
      </c>
      <c r="X375" t="str">
        <f t="shared" si="93"/>
        <v>620</v>
      </c>
      <c r="Y375" t="str">
        <f t="shared" si="94"/>
        <v>-5799</v>
      </c>
      <c r="Z375" t="str">
        <f>SUBSTITUTE(V375,"-","|",2)</f>
        <v>516-620|5799</v>
      </c>
      <c r="AA375" t="str">
        <f>LEFT(V375,3)</f>
        <v>516</v>
      </c>
      <c r="AB375" t="str">
        <f>MID(V375,5,3)</f>
        <v>620</v>
      </c>
      <c r="AC375" t="str">
        <f>RIGHT(V375,4)</f>
        <v>5799</v>
      </c>
      <c r="AD375" s="3" t="s">
        <v>2458</v>
      </c>
      <c r="AE375" s="3" t="str">
        <f t="shared" si="95"/>
        <v>254</v>
      </c>
    </row>
    <row r="376" spans="1:31">
      <c r="A376" t="s">
        <v>471</v>
      </c>
      <c r="B376" t="str">
        <f t="shared" si="81"/>
        <v>David</v>
      </c>
      <c r="C376" t="s">
        <v>58</v>
      </c>
      <c r="D376" t="s">
        <v>2459</v>
      </c>
      <c r="E376" t="str">
        <f t="shared" si="82"/>
        <v>Harding</v>
      </c>
      <c r="F376" t="str">
        <f t="shared" si="83"/>
        <v>DAVIDHARDING</v>
      </c>
      <c r="G376" t="str">
        <f t="shared" si="84"/>
        <v>DAVIDHARDING</v>
      </c>
      <c r="H376" t="str">
        <f t="shared" si="85"/>
        <v>DAV HARDING</v>
      </c>
      <c r="I376" t="str">
        <f t="shared" si="86"/>
        <v>DAV.H</v>
      </c>
      <c r="J376" t="s">
        <v>42</v>
      </c>
      <c r="K376" t="s">
        <v>2460</v>
      </c>
      <c r="L376" t="s">
        <v>2461</v>
      </c>
      <c r="M376" t="s">
        <v>35</v>
      </c>
      <c r="N376">
        <v>60091</v>
      </c>
      <c r="O376" t="str">
        <f t="shared" si="87"/>
        <v>60091</v>
      </c>
      <c r="P376" t="str">
        <f t="shared" si="80"/>
        <v>2699 Bingamon Branch Road, Wilmette, IL, 60091</v>
      </c>
      <c r="Q376" t="s">
        <v>2462</v>
      </c>
      <c r="R376" t="str">
        <f t="shared" si="88"/>
        <v>DavidMHarding</v>
      </c>
      <c r="S376" t="str">
        <f t="shared" si="89"/>
        <v>hotmail.com</v>
      </c>
      <c r="T376" t="str">
        <f t="shared" si="90"/>
        <v>hotmail</v>
      </c>
      <c r="U376" t="str">
        <f t="shared" si="91"/>
        <v>DavidMHarding</v>
      </c>
      <c r="V376" t="s">
        <v>2463</v>
      </c>
      <c r="W376" t="str">
        <f t="shared" si="92"/>
        <v>847-</v>
      </c>
      <c r="X376" t="str">
        <f t="shared" si="93"/>
        <v>256</v>
      </c>
      <c r="Y376" t="str">
        <f t="shared" si="94"/>
        <v>-4606</v>
      </c>
      <c r="Z376" t="str">
        <f>SUBSTITUTE(V376,"-","|",2)</f>
        <v>847-256|4606</v>
      </c>
      <c r="AA376" t="str">
        <f>LEFT(V376,3)</f>
        <v>847</v>
      </c>
      <c r="AB376" t="str">
        <f>MID(V376,5,3)</f>
        <v>256</v>
      </c>
      <c r="AC376" t="str">
        <f>RIGHT(V376,4)</f>
        <v>4606</v>
      </c>
      <c r="AD376" s="3" t="s">
        <v>2464</v>
      </c>
      <c r="AE376" s="3" t="str">
        <f t="shared" si="95"/>
        <v>4218</v>
      </c>
    </row>
    <row r="377" spans="1:31">
      <c r="A377" t="s">
        <v>204</v>
      </c>
      <c r="B377" t="str">
        <f t="shared" si="81"/>
        <v>Patrick</v>
      </c>
      <c r="C377" t="s">
        <v>30</v>
      </c>
      <c r="D377" t="s">
        <v>2465</v>
      </c>
      <c r="E377" t="str">
        <f t="shared" si="82"/>
        <v>Lovett</v>
      </c>
      <c r="F377" t="str">
        <f t="shared" si="83"/>
        <v>PATRICKLOVETT</v>
      </c>
      <c r="G377" t="str">
        <f t="shared" si="84"/>
        <v>PATRICKLOVETT</v>
      </c>
      <c r="H377" t="str">
        <f t="shared" si="85"/>
        <v>PAT LOVETT</v>
      </c>
      <c r="I377" t="str">
        <f t="shared" si="86"/>
        <v>PAT.L</v>
      </c>
      <c r="J377" t="s">
        <v>42</v>
      </c>
      <c r="K377" t="s">
        <v>2466</v>
      </c>
      <c r="L377" t="s">
        <v>2467</v>
      </c>
      <c r="M377" t="s">
        <v>88</v>
      </c>
      <c r="N377">
        <v>75088</v>
      </c>
      <c r="O377" t="str">
        <f t="shared" si="87"/>
        <v>75088</v>
      </c>
      <c r="P377" t="str">
        <f t="shared" si="80"/>
        <v>438 Wilson Avenue, Rowlett, TX, 75088</v>
      </c>
      <c r="Q377" t="s">
        <v>2468</v>
      </c>
      <c r="R377" t="str">
        <f t="shared" si="88"/>
        <v>PatrickJLovett</v>
      </c>
      <c r="S377" t="str">
        <f t="shared" si="89"/>
        <v>gmail.com</v>
      </c>
      <c r="T377" t="str">
        <f t="shared" si="90"/>
        <v>gmail</v>
      </c>
      <c r="U377" t="str">
        <f t="shared" si="91"/>
        <v>PatrickJLovett</v>
      </c>
      <c r="V377" t="s">
        <v>2469</v>
      </c>
      <c r="W377" t="str">
        <f t="shared" si="92"/>
        <v>972-</v>
      </c>
      <c r="X377" t="str">
        <f t="shared" si="93"/>
        <v>463</v>
      </c>
      <c r="Y377" t="str">
        <f t="shared" si="94"/>
        <v>-1136</v>
      </c>
      <c r="Z377" t="str">
        <f>SUBSTITUTE(V377,"-","|",2)</f>
        <v>972-463|1136</v>
      </c>
      <c r="AA377" t="str">
        <f>LEFT(V377,3)</f>
        <v>972</v>
      </c>
      <c r="AB377" t="str">
        <f>MID(V377,5,3)</f>
        <v>463</v>
      </c>
      <c r="AC377" t="str">
        <f>RIGHT(V377,4)</f>
        <v>1136</v>
      </c>
      <c r="AD377" s="3" t="s">
        <v>2470</v>
      </c>
      <c r="AE377" s="3" t="str">
        <f t="shared" si="95"/>
        <v>958</v>
      </c>
    </row>
    <row r="378" spans="1:31">
      <c r="A378" t="s">
        <v>1687</v>
      </c>
      <c r="B378" t="str">
        <f t="shared" si="81"/>
        <v>Frank</v>
      </c>
      <c r="C378" t="s">
        <v>149</v>
      </c>
      <c r="D378" t="s">
        <v>495</v>
      </c>
      <c r="E378" t="str">
        <f t="shared" si="82"/>
        <v>Clark</v>
      </c>
      <c r="F378" t="str">
        <f t="shared" si="83"/>
        <v>FRANKCLARK</v>
      </c>
      <c r="G378" t="str">
        <f t="shared" si="84"/>
        <v>FRANKCLARK</v>
      </c>
      <c r="H378" t="str">
        <f t="shared" si="85"/>
        <v>FRA CLARK</v>
      </c>
      <c r="I378" t="str">
        <f t="shared" si="86"/>
        <v>FRA.C</v>
      </c>
      <c r="J378" t="s">
        <v>42</v>
      </c>
      <c r="K378" t="s">
        <v>2471</v>
      </c>
      <c r="L378" t="s">
        <v>2472</v>
      </c>
      <c r="M378" t="s">
        <v>413</v>
      </c>
      <c r="N378">
        <v>20014</v>
      </c>
      <c r="O378" t="str">
        <f t="shared" si="87"/>
        <v>20014</v>
      </c>
      <c r="P378" t="str">
        <f t="shared" si="80"/>
        <v>2966 Doe Meadow Drive, Bethesda, MD, 20014</v>
      </c>
      <c r="Q378" t="s">
        <v>2473</v>
      </c>
      <c r="R378" t="str">
        <f t="shared" si="88"/>
        <v>FrankPClark</v>
      </c>
      <c r="S378" t="str">
        <f t="shared" si="89"/>
        <v>aol.com</v>
      </c>
      <c r="T378" t="str">
        <f t="shared" si="90"/>
        <v>aol</v>
      </c>
      <c r="U378" t="str">
        <f t="shared" si="91"/>
        <v>FrankPClark</v>
      </c>
      <c r="V378" t="s">
        <v>2474</v>
      </c>
      <c r="W378" t="str">
        <f t="shared" si="92"/>
        <v>301-</v>
      </c>
      <c r="X378" t="str">
        <f t="shared" si="93"/>
        <v>564</v>
      </c>
      <c r="Y378" t="str">
        <f t="shared" si="94"/>
        <v>-7600</v>
      </c>
      <c r="Z378" t="str">
        <f>SUBSTITUTE(V378,"-","|",2)</f>
        <v>301-564|7600</v>
      </c>
      <c r="AA378" t="str">
        <f>LEFT(V378,3)</f>
        <v>301</v>
      </c>
      <c r="AB378" t="str">
        <f>MID(V378,5,3)</f>
        <v>564</v>
      </c>
      <c r="AC378" t="str">
        <f>RIGHT(V378,4)</f>
        <v>7600</v>
      </c>
      <c r="AD378" s="3" t="s">
        <v>2475</v>
      </c>
      <c r="AE378" s="3" t="str">
        <f t="shared" si="95"/>
        <v>5543</v>
      </c>
    </row>
    <row r="379" spans="1:31">
      <c r="A379" t="s">
        <v>1794</v>
      </c>
      <c r="B379" t="str">
        <f t="shared" si="81"/>
        <v>Chester</v>
      </c>
      <c r="C379" t="s">
        <v>40</v>
      </c>
      <c r="D379" t="s">
        <v>142</v>
      </c>
      <c r="E379" t="str">
        <f t="shared" si="82"/>
        <v>Smith</v>
      </c>
      <c r="F379" t="str">
        <f t="shared" si="83"/>
        <v>CHESTERSMITH</v>
      </c>
      <c r="G379" t="str">
        <f t="shared" si="84"/>
        <v>CHESTERSMITH</v>
      </c>
      <c r="H379" t="str">
        <f t="shared" si="85"/>
        <v>CHE SMITH</v>
      </c>
      <c r="I379" t="str">
        <f t="shared" si="86"/>
        <v>CHE.S</v>
      </c>
      <c r="J379" t="s">
        <v>42</v>
      </c>
      <c r="K379" t="s">
        <v>2476</v>
      </c>
      <c r="L379" t="s">
        <v>2477</v>
      </c>
      <c r="M379" t="s">
        <v>35</v>
      </c>
      <c r="N379">
        <v>60191</v>
      </c>
      <c r="O379" t="str">
        <f t="shared" si="87"/>
        <v>60191</v>
      </c>
      <c r="P379" t="str">
        <f t="shared" si="80"/>
        <v>1696 Thomas Street, Wood Dale, IL, 60191</v>
      </c>
      <c r="Q379" t="s">
        <v>2478</v>
      </c>
      <c r="R379" t="str">
        <f t="shared" si="88"/>
        <v>ChesterSSmith</v>
      </c>
      <c r="S379" t="str">
        <f t="shared" si="89"/>
        <v>aol.com</v>
      </c>
      <c r="T379" t="str">
        <f t="shared" si="90"/>
        <v>aol</v>
      </c>
      <c r="U379" t="str">
        <f t="shared" si="91"/>
        <v>ChesterSSmith</v>
      </c>
      <c r="V379" t="s">
        <v>2479</v>
      </c>
      <c r="W379" t="str">
        <f t="shared" si="92"/>
        <v>847-</v>
      </c>
      <c r="X379" t="str">
        <f t="shared" si="93"/>
        <v>481</v>
      </c>
      <c r="Y379" t="str">
        <f t="shared" si="94"/>
        <v>-7950</v>
      </c>
      <c r="Z379" t="str">
        <f>SUBSTITUTE(V379,"-","|",2)</f>
        <v>847-481|7950</v>
      </c>
      <c r="AA379" t="str">
        <f>LEFT(V379,3)</f>
        <v>847</v>
      </c>
      <c r="AB379" t="str">
        <f>MID(V379,5,3)</f>
        <v>481</v>
      </c>
      <c r="AC379" t="str">
        <f>RIGHT(V379,4)</f>
        <v>7950</v>
      </c>
      <c r="AD379" s="3" t="s">
        <v>2480</v>
      </c>
      <c r="AE379" s="3" t="str">
        <f t="shared" si="95"/>
        <v>892</v>
      </c>
    </row>
    <row r="380" spans="1:31">
      <c r="A380" t="s">
        <v>1269</v>
      </c>
      <c r="B380" t="str">
        <f t="shared" si="81"/>
        <v>William</v>
      </c>
      <c r="C380" t="s">
        <v>30</v>
      </c>
      <c r="D380" t="s">
        <v>2481</v>
      </c>
      <c r="E380" t="str">
        <f t="shared" si="82"/>
        <v>Park</v>
      </c>
      <c r="F380" t="str">
        <f t="shared" si="83"/>
        <v>WILLIAMPARK</v>
      </c>
      <c r="G380" t="str">
        <f t="shared" si="84"/>
        <v>WILLIAMPARK</v>
      </c>
      <c r="H380" t="str">
        <f t="shared" si="85"/>
        <v>WIL PARK</v>
      </c>
      <c r="I380" t="str">
        <f t="shared" si="86"/>
        <v>WIL.P</v>
      </c>
      <c r="J380" t="s">
        <v>42</v>
      </c>
      <c r="K380" t="s">
        <v>2482</v>
      </c>
      <c r="L380" t="s">
        <v>2483</v>
      </c>
      <c r="M380" t="s">
        <v>1632</v>
      </c>
      <c r="N380">
        <v>6510</v>
      </c>
      <c r="O380" t="str">
        <f t="shared" si="87"/>
        <v>06510</v>
      </c>
      <c r="P380" t="str">
        <f t="shared" si="80"/>
        <v>3429 School Street, New Haven, CT, 6510</v>
      </c>
      <c r="Q380" t="s">
        <v>2484</v>
      </c>
      <c r="R380" t="str">
        <f t="shared" si="88"/>
        <v>WilliamJPark</v>
      </c>
      <c r="S380" t="str">
        <f t="shared" si="89"/>
        <v>aol.com</v>
      </c>
      <c r="T380" t="str">
        <f t="shared" si="90"/>
        <v>aol</v>
      </c>
      <c r="U380" t="str">
        <f t="shared" si="91"/>
        <v>WilliamJPark</v>
      </c>
      <c r="V380" t="s">
        <v>2485</v>
      </c>
      <c r="W380" t="str">
        <f t="shared" si="92"/>
        <v>203-</v>
      </c>
      <c r="X380" t="str">
        <f t="shared" si="93"/>
        <v>764</v>
      </c>
      <c r="Y380" t="str">
        <f t="shared" si="94"/>
        <v>-5301</v>
      </c>
      <c r="Z380" t="str">
        <f>SUBSTITUTE(V380,"-","|",2)</f>
        <v>203-764|5301</v>
      </c>
      <c r="AA380" t="str">
        <f>LEFT(V380,3)</f>
        <v>203</v>
      </c>
      <c r="AB380" t="str">
        <f>MID(V380,5,3)</f>
        <v>764</v>
      </c>
      <c r="AC380" t="str">
        <f>RIGHT(V380,4)</f>
        <v>5301</v>
      </c>
      <c r="AD380" s="3" t="s">
        <v>2486</v>
      </c>
      <c r="AE380" s="3" t="str">
        <f t="shared" si="95"/>
        <v>225</v>
      </c>
    </row>
    <row r="381" spans="1:31">
      <c r="A381" t="s">
        <v>2487</v>
      </c>
      <c r="B381" t="str">
        <f t="shared" si="81"/>
        <v>Andrew</v>
      </c>
      <c r="C381" t="s">
        <v>116</v>
      </c>
      <c r="D381" t="s">
        <v>2488</v>
      </c>
      <c r="E381" t="str">
        <f t="shared" si="82"/>
        <v>Hunter</v>
      </c>
      <c r="F381" t="str">
        <f t="shared" si="83"/>
        <v>ANDREWHUNTER</v>
      </c>
      <c r="G381" t="str">
        <f t="shared" si="84"/>
        <v>ANDREWHUNTER</v>
      </c>
      <c r="H381" t="str">
        <f t="shared" si="85"/>
        <v>AND HUNTER</v>
      </c>
      <c r="I381" t="str">
        <f t="shared" si="86"/>
        <v>AND.H</v>
      </c>
      <c r="J381" t="s">
        <v>42</v>
      </c>
      <c r="K381" t="s">
        <v>2489</v>
      </c>
      <c r="L381" t="s">
        <v>1157</v>
      </c>
      <c r="M381" t="s">
        <v>104</v>
      </c>
      <c r="N381">
        <v>10023</v>
      </c>
      <c r="O381" t="str">
        <f t="shared" si="87"/>
        <v>10023</v>
      </c>
      <c r="P381" t="str">
        <f t="shared" si="80"/>
        <v>4114 Godfrey Road, New York, NY, 10023</v>
      </c>
      <c r="Q381" t="s">
        <v>2490</v>
      </c>
      <c r="R381" t="str">
        <f t="shared" si="88"/>
        <v>AndrewHHunter</v>
      </c>
      <c r="S381" t="str">
        <f t="shared" si="89"/>
        <v>aol.com</v>
      </c>
      <c r="T381" t="str">
        <f t="shared" si="90"/>
        <v>aol</v>
      </c>
      <c r="U381" t="str">
        <f t="shared" si="91"/>
        <v>AndrewHHunter</v>
      </c>
      <c r="V381" t="s">
        <v>2491</v>
      </c>
      <c r="W381" t="str">
        <f t="shared" si="92"/>
        <v>212-</v>
      </c>
      <c r="X381" t="str">
        <f t="shared" si="93"/>
        <v>496</v>
      </c>
      <c r="Y381" t="str">
        <f t="shared" si="94"/>
        <v>-4350</v>
      </c>
      <c r="Z381" t="str">
        <f>SUBSTITUTE(V381,"-","|",2)</f>
        <v>212-496|4350</v>
      </c>
      <c r="AA381" t="str">
        <f>LEFT(V381,3)</f>
        <v>212</v>
      </c>
      <c r="AB381" t="str">
        <f>MID(V381,5,3)</f>
        <v>496</v>
      </c>
      <c r="AC381" t="str">
        <f>RIGHT(V381,4)</f>
        <v>4350</v>
      </c>
      <c r="AD381" s="3" t="s">
        <v>2492</v>
      </c>
      <c r="AE381" s="3" t="str">
        <f t="shared" si="95"/>
        <v>1865</v>
      </c>
    </row>
    <row r="382" spans="1:31">
      <c r="A382" t="s">
        <v>2493</v>
      </c>
      <c r="B382" t="str">
        <f t="shared" si="81"/>
        <v>Ricky</v>
      </c>
      <c r="C382" t="s">
        <v>166</v>
      </c>
      <c r="D382" t="s">
        <v>2494</v>
      </c>
      <c r="E382" t="str">
        <f t="shared" si="82"/>
        <v>Shields</v>
      </c>
      <c r="F382" t="str">
        <f t="shared" si="83"/>
        <v>RICKYSHIELDS</v>
      </c>
      <c r="G382" t="str">
        <f t="shared" si="84"/>
        <v>RICKYSHIELDS</v>
      </c>
      <c r="H382" t="str">
        <f t="shared" si="85"/>
        <v>RIC SHIELDS</v>
      </c>
      <c r="I382" t="str">
        <f t="shared" si="86"/>
        <v>RIC.S</v>
      </c>
      <c r="J382" t="s">
        <v>42</v>
      </c>
      <c r="K382" t="s">
        <v>2495</v>
      </c>
      <c r="L382" t="s">
        <v>933</v>
      </c>
      <c r="M382" t="s">
        <v>45</v>
      </c>
      <c r="N382">
        <v>92704</v>
      </c>
      <c r="O382" t="str">
        <f t="shared" si="87"/>
        <v>92704</v>
      </c>
      <c r="P382" t="str">
        <f t="shared" si="80"/>
        <v>4461 Liberty Avenue, Santa Ana, CA, 92704</v>
      </c>
      <c r="Q382" t="s">
        <v>2496</v>
      </c>
      <c r="R382" t="str">
        <f t="shared" si="88"/>
        <v>RickyBShields</v>
      </c>
      <c r="S382" t="str">
        <f t="shared" si="89"/>
        <v>gmail.com</v>
      </c>
      <c r="T382" t="str">
        <f t="shared" si="90"/>
        <v>gmail</v>
      </c>
      <c r="U382" t="str">
        <f t="shared" si="91"/>
        <v>RickyBShields</v>
      </c>
      <c r="V382" t="s">
        <v>2497</v>
      </c>
      <c r="W382" t="str">
        <f t="shared" si="92"/>
        <v>714-</v>
      </c>
      <c r="X382" t="str">
        <f t="shared" si="93"/>
        <v>431</v>
      </c>
      <c r="Y382" t="str">
        <f t="shared" si="94"/>
        <v>-2249</v>
      </c>
      <c r="Z382" t="str">
        <f>SUBSTITUTE(V382,"-","|",2)</f>
        <v>714-431|2249</v>
      </c>
      <c r="AA382" t="str">
        <f>LEFT(V382,3)</f>
        <v>714</v>
      </c>
      <c r="AB382" t="str">
        <f>MID(V382,5,3)</f>
        <v>431</v>
      </c>
      <c r="AC382" t="str">
        <f>RIGHT(V382,4)</f>
        <v>2249</v>
      </c>
      <c r="AD382" s="3" t="s">
        <v>2498</v>
      </c>
      <c r="AE382" s="3" t="str">
        <f t="shared" si="95"/>
        <v>1306</v>
      </c>
    </row>
    <row r="383" spans="1:31">
      <c r="A383" t="s">
        <v>1753</v>
      </c>
      <c r="B383" t="str">
        <f t="shared" si="81"/>
        <v>Bobby</v>
      </c>
      <c r="C383" t="s">
        <v>58</v>
      </c>
      <c r="D383" t="s">
        <v>2499</v>
      </c>
      <c r="E383" t="str">
        <f t="shared" si="82"/>
        <v>Wells</v>
      </c>
      <c r="F383" t="str">
        <f t="shared" si="83"/>
        <v>BOBBYWELLS</v>
      </c>
      <c r="G383" t="str">
        <f t="shared" si="84"/>
        <v>BOBBYWELLS</v>
      </c>
      <c r="H383" t="str">
        <f t="shared" si="85"/>
        <v>BOB WELLS</v>
      </c>
      <c r="I383" t="str">
        <f t="shared" si="86"/>
        <v>BOB.W</v>
      </c>
      <c r="J383" t="s">
        <v>42</v>
      </c>
      <c r="K383" t="s">
        <v>2500</v>
      </c>
      <c r="L383" t="s">
        <v>2501</v>
      </c>
      <c r="M383" t="s">
        <v>516</v>
      </c>
      <c r="N383">
        <v>46350</v>
      </c>
      <c r="O383" t="str">
        <f t="shared" si="87"/>
        <v>46350</v>
      </c>
      <c r="P383" t="str">
        <f t="shared" si="80"/>
        <v>1364 Duffy Street, Laporte, IN, 46350</v>
      </c>
      <c r="Q383" t="s">
        <v>2502</v>
      </c>
      <c r="R383" t="str">
        <f t="shared" si="88"/>
        <v>BobbyMWells</v>
      </c>
      <c r="S383" t="str">
        <f t="shared" si="89"/>
        <v>gmail.com</v>
      </c>
      <c r="T383" t="str">
        <f t="shared" si="90"/>
        <v>gmail</v>
      </c>
      <c r="U383" t="str">
        <f t="shared" si="91"/>
        <v>BobbyMWells</v>
      </c>
      <c r="V383" t="s">
        <v>2503</v>
      </c>
      <c r="W383" t="str">
        <f t="shared" si="92"/>
        <v>219-</v>
      </c>
      <c r="X383" t="str">
        <f t="shared" si="93"/>
        <v>851</v>
      </c>
      <c r="Y383" t="str">
        <f t="shared" si="94"/>
        <v>-2179</v>
      </c>
      <c r="Z383" t="str">
        <f>SUBSTITUTE(V383,"-","|",2)</f>
        <v>219-851|2179</v>
      </c>
      <c r="AA383" t="str">
        <f>LEFT(V383,3)</f>
        <v>219</v>
      </c>
      <c r="AB383" t="str">
        <f>MID(V383,5,3)</f>
        <v>851</v>
      </c>
      <c r="AC383" t="str">
        <f>RIGHT(V383,4)</f>
        <v>2179</v>
      </c>
      <c r="AD383" s="3" t="s">
        <v>2504</v>
      </c>
      <c r="AE383" s="3" t="str">
        <f t="shared" si="95"/>
        <v>663</v>
      </c>
    </row>
    <row r="384" spans="1:31">
      <c r="A384" t="s">
        <v>2505</v>
      </c>
      <c r="B384" t="str">
        <f t="shared" si="81"/>
        <v>Adam</v>
      </c>
      <c r="C384" t="s">
        <v>270</v>
      </c>
      <c r="D384" t="s">
        <v>1550</v>
      </c>
      <c r="E384" t="str">
        <f t="shared" si="82"/>
        <v>White</v>
      </c>
      <c r="F384" t="str">
        <f t="shared" si="83"/>
        <v>ADAMWHITE</v>
      </c>
      <c r="G384" t="str">
        <f t="shared" si="84"/>
        <v>ADAMWHITE</v>
      </c>
      <c r="H384" t="str">
        <f t="shared" si="85"/>
        <v>ADA WHITE</v>
      </c>
      <c r="I384" t="str">
        <f t="shared" si="86"/>
        <v>ADA.W</v>
      </c>
      <c r="J384" t="s">
        <v>42</v>
      </c>
      <c r="K384" t="s">
        <v>2506</v>
      </c>
      <c r="L384" t="s">
        <v>2507</v>
      </c>
      <c r="M384" t="s">
        <v>530</v>
      </c>
      <c r="N384">
        <v>38901</v>
      </c>
      <c r="O384" t="str">
        <f t="shared" si="87"/>
        <v>38901</v>
      </c>
      <c r="P384" t="str">
        <f t="shared" si="80"/>
        <v>4626 Oxford Court, Grenada, MS, 38901</v>
      </c>
      <c r="Q384" t="s">
        <v>2508</v>
      </c>
      <c r="R384" t="str">
        <f t="shared" si="88"/>
        <v>AdamVWhite</v>
      </c>
      <c r="S384" t="str">
        <f t="shared" si="89"/>
        <v>gmail.com</v>
      </c>
      <c r="T384" t="str">
        <f t="shared" si="90"/>
        <v>gmail</v>
      </c>
      <c r="U384" t="str">
        <f t="shared" si="91"/>
        <v>AdamVWhite</v>
      </c>
      <c r="V384" t="s">
        <v>2509</v>
      </c>
      <c r="W384" t="str">
        <f t="shared" si="92"/>
        <v>662-</v>
      </c>
      <c r="X384" t="str">
        <f t="shared" si="93"/>
        <v>229</v>
      </c>
      <c r="Y384" t="str">
        <f t="shared" si="94"/>
        <v>-2018</v>
      </c>
      <c r="Z384" t="str">
        <f>SUBSTITUTE(V384,"-","|",2)</f>
        <v>662-229|2018</v>
      </c>
      <c r="AA384" t="str">
        <f>LEFT(V384,3)</f>
        <v>662</v>
      </c>
      <c r="AB384" t="str">
        <f>MID(V384,5,3)</f>
        <v>229</v>
      </c>
      <c r="AC384" t="str">
        <f>RIGHT(V384,4)</f>
        <v>2018</v>
      </c>
      <c r="AD384" s="3" t="s">
        <v>2510</v>
      </c>
      <c r="AE384" s="3" t="str">
        <f t="shared" si="95"/>
        <v>309</v>
      </c>
    </row>
    <row r="385" spans="1:31">
      <c r="A385" t="s">
        <v>2134</v>
      </c>
      <c r="B385" t="str">
        <f t="shared" si="81"/>
        <v>Marshall</v>
      </c>
      <c r="C385" t="s">
        <v>30</v>
      </c>
      <c r="D385" t="s">
        <v>2511</v>
      </c>
      <c r="E385" t="str">
        <f t="shared" si="82"/>
        <v>Hubbard</v>
      </c>
      <c r="F385" t="str">
        <f t="shared" si="83"/>
        <v>MARSHALLHUBBARD</v>
      </c>
      <c r="G385" t="str">
        <f t="shared" si="84"/>
        <v>MARSHALLHUBBARD</v>
      </c>
      <c r="H385" t="str">
        <f t="shared" si="85"/>
        <v>MAR HUBBARD</v>
      </c>
      <c r="I385" t="str">
        <f t="shared" si="86"/>
        <v>MAR.H</v>
      </c>
      <c r="J385" t="s">
        <v>42</v>
      </c>
      <c r="K385" t="s">
        <v>2512</v>
      </c>
      <c r="L385" t="s">
        <v>1866</v>
      </c>
      <c r="M385" t="s">
        <v>104</v>
      </c>
      <c r="N385">
        <v>11530</v>
      </c>
      <c r="O385" t="str">
        <f t="shared" si="87"/>
        <v>11530</v>
      </c>
      <c r="P385" t="str">
        <f t="shared" si="80"/>
        <v>1846 Wayback Lane, Garden City, NY, 11530</v>
      </c>
      <c r="Q385" t="s">
        <v>2513</v>
      </c>
      <c r="R385" t="str">
        <f t="shared" si="88"/>
        <v>MarshallJHubbard</v>
      </c>
      <c r="S385" t="str">
        <f t="shared" si="89"/>
        <v>aol.com</v>
      </c>
      <c r="T385" t="str">
        <f t="shared" si="90"/>
        <v>aol</v>
      </c>
      <c r="U385" t="str">
        <f t="shared" si="91"/>
        <v>MarshallJHubbard</v>
      </c>
      <c r="V385" t="s">
        <v>2514</v>
      </c>
      <c r="W385" t="str">
        <f t="shared" si="92"/>
        <v>631-</v>
      </c>
      <c r="X385" t="str">
        <f t="shared" si="93"/>
        <v>433</v>
      </c>
      <c r="Y385" t="str">
        <f t="shared" si="94"/>
        <v>-2627</v>
      </c>
      <c r="Z385" t="str">
        <f>SUBSTITUTE(V385,"-","|",2)</f>
        <v>631-433|2627</v>
      </c>
      <c r="AA385" t="str">
        <f>LEFT(V385,3)</f>
        <v>631</v>
      </c>
      <c r="AB385" t="str">
        <f>MID(V385,5,3)</f>
        <v>433</v>
      </c>
      <c r="AC385" t="str">
        <f>RIGHT(V385,4)</f>
        <v>2627</v>
      </c>
      <c r="AD385" s="3" t="s">
        <v>2515</v>
      </c>
      <c r="AE385" s="3" t="str">
        <f t="shared" si="95"/>
        <v>208</v>
      </c>
    </row>
    <row r="386" spans="1:31">
      <c r="A386" t="s">
        <v>189</v>
      </c>
      <c r="B386" t="str">
        <f t="shared" si="81"/>
        <v>James</v>
      </c>
      <c r="C386" t="s">
        <v>30</v>
      </c>
      <c r="D386" t="s">
        <v>1821</v>
      </c>
      <c r="E386" t="str">
        <f t="shared" si="82"/>
        <v>Perry</v>
      </c>
      <c r="F386" t="str">
        <f t="shared" si="83"/>
        <v>JAMESPERRY</v>
      </c>
      <c r="G386" t="str">
        <f t="shared" si="84"/>
        <v>JAMESPERRY</v>
      </c>
      <c r="H386" t="str">
        <f t="shared" si="85"/>
        <v>JAM PERRY</v>
      </c>
      <c r="I386" t="str">
        <f t="shared" si="86"/>
        <v>JAM.P</v>
      </c>
      <c r="J386" t="s">
        <v>42</v>
      </c>
      <c r="K386" t="s">
        <v>2516</v>
      </c>
      <c r="L386" t="s">
        <v>2517</v>
      </c>
      <c r="M386" t="s">
        <v>35</v>
      </c>
      <c r="N386">
        <v>62960</v>
      </c>
      <c r="O386" t="str">
        <f t="shared" si="87"/>
        <v>62960</v>
      </c>
      <c r="P386" t="str">
        <f t="shared" ref="P386:P449" si="96">K386&amp;", "&amp;L386&amp;", "&amp;M386&amp;", "&amp;N386</f>
        <v>671 Ross Street, Metropolis, IL, 62960</v>
      </c>
      <c r="Q386" t="s">
        <v>2518</v>
      </c>
      <c r="R386" t="str">
        <f t="shared" si="88"/>
        <v>JamesJPerry</v>
      </c>
      <c r="S386" t="str">
        <f t="shared" si="89"/>
        <v>aol.com</v>
      </c>
      <c r="T386" t="str">
        <f t="shared" si="90"/>
        <v>aol</v>
      </c>
      <c r="U386" t="str">
        <f t="shared" si="91"/>
        <v>JamesJPerry</v>
      </c>
      <c r="V386" t="s">
        <v>2519</v>
      </c>
      <c r="W386" t="str">
        <f t="shared" si="92"/>
        <v>618-</v>
      </c>
      <c r="X386" t="str">
        <f t="shared" si="93"/>
        <v>280</v>
      </c>
      <c r="Y386" t="str">
        <f t="shared" si="94"/>
        <v>-2545</v>
      </c>
      <c r="Z386" t="str">
        <f>SUBSTITUTE(V386,"-","|",2)</f>
        <v>618-280|2545</v>
      </c>
      <c r="AA386" t="str">
        <f>LEFT(V386,3)</f>
        <v>618</v>
      </c>
      <c r="AB386" t="str">
        <f>MID(V386,5,3)</f>
        <v>280</v>
      </c>
      <c r="AC386" t="str">
        <f>RIGHT(V386,4)</f>
        <v>2545</v>
      </c>
      <c r="AD386" s="3" t="s">
        <v>2520</v>
      </c>
      <c r="AE386" s="3" t="str">
        <f t="shared" si="95"/>
        <v>637</v>
      </c>
    </row>
    <row r="387" spans="1:31">
      <c r="A387" t="s">
        <v>2521</v>
      </c>
      <c r="B387" t="str">
        <f t="shared" ref="B387:B450" si="97">TRIM(PROPER(A387))</f>
        <v>Pauline</v>
      </c>
      <c r="C387" t="s">
        <v>132</v>
      </c>
      <c r="D387" t="s">
        <v>2522</v>
      </c>
      <c r="E387" t="str">
        <f t="shared" ref="E387:E450" si="98">TRIM(PROPER(D387))</f>
        <v>Fisher</v>
      </c>
      <c r="F387" t="str">
        <f t="shared" ref="F387:F450" si="99">A387&amp;""&amp;D387</f>
        <v>PAULINEFISHER</v>
      </c>
      <c r="G387" t="str">
        <f t="shared" ref="G387:G450" si="100">CONCATENATE(A387,D387)</f>
        <v>PAULINEFISHER</v>
      </c>
      <c r="H387" t="str">
        <f t="shared" ref="H387:H450" si="101">LEFT(A387,3)&amp;" "&amp;D387</f>
        <v>PAU FISHER</v>
      </c>
      <c r="I387" t="str">
        <f t="shared" ref="I387:I450" si="102">LEFT(A387,3)&amp;"."&amp;LEFT(D387,1)</f>
        <v>PAU.F</v>
      </c>
      <c r="J387" t="s">
        <v>32</v>
      </c>
      <c r="K387" t="s">
        <v>2523</v>
      </c>
      <c r="L387" t="s">
        <v>2524</v>
      </c>
      <c r="M387" t="s">
        <v>208</v>
      </c>
      <c r="N387">
        <v>68715</v>
      </c>
      <c r="O387" t="str">
        <f t="shared" ref="O387:O450" si="103">IF(LEN(N387)=5,TEXT(N387,"#####"),IF(LEN(N387)=4,TEXT(N387,"0####")))</f>
        <v>68715</v>
      </c>
      <c r="P387" t="str">
        <f t="shared" si="96"/>
        <v>2642 Snowbird Lane, Battle Creek, NE, 68715</v>
      </c>
      <c r="Q387" t="s">
        <v>2525</v>
      </c>
      <c r="R387" t="str">
        <f t="shared" ref="R387:R450" si="104">LEFT(Q387,SEARCH("@",Q387)-1)</f>
        <v>PaulineRFisher</v>
      </c>
      <c r="S387" t="str">
        <f t="shared" ref="S387:S450" si="105">RIGHT(Q387,LEN(Q387)-SEARCH("@",Q387))</f>
        <v>aol.com</v>
      </c>
      <c r="T387" t="str">
        <f t="shared" ref="T387:T450" si="106">IF(ISNUMBER(SEARCH("gmail",Q387)),"gmail",IF(ISNUMBER(SEARCH("aol",Q387)),"aol",IF(ISNUMBER(SEARCH("hotmail",Q387)),"hotmail","other")))</f>
        <v>aol</v>
      </c>
      <c r="U387" t="str">
        <f t="shared" ref="U387:U450" si="107">LEFT(Q387,SEARCH("@",Q387)-1)</f>
        <v>PaulineRFisher</v>
      </c>
      <c r="V387" t="s">
        <v>2526</v>
      </c>
      <c r="W387" t="str">
        <f t="shared" ref="W387:W450" si="108">LEFT(V387,4)</f>
        <v>402-</v>
      </c>
      <c r="X387" t="str">
        <f t="shared" ref="X387:X450" si="109">MID(V387,5,3)</f>
        <v>675</v>
      </c>
      <c r="Y387" t="str">
        <f t="shared" ref="Y387:Y450" si="110">RIGHT(V387,5)</f>
        <v>-2093</v>
      </c>
      <c r="Z387" t="str">
        <f>SUBSTITUTE(V387,"-","|",2)</f>
        <v>402-675|2093</v>
      </c>
      <c r="AA387" t="str">
        <f>LEFT(V387,3)</f>
        <v>402</v>
      </c>
      <c r="AB387" t="str">
        <f>MID(V387,5,3)</f>
        <v>675</v>
      </c>
      <c r="AC387" t="str">
        <f>RIGHT(V387,4)</f>
        <v>2093</v>
      </c>
      <c r="AD387" s="3" t="s">
        <v>2527</v>
      </c>
      <c r="AE387" s="3" t="str">
        <f t="shared" ref="AE387:AE450" si="111">RIGHT(AD387,LEN(AD387)-SEARCH("-",AD387))</f>
        <v>633</v>
      </c>
    </row>
    <row r="388" spans="1:31">
      <c r="A388" t="s">
        <v>471</v>
      </c>
      <c r="B388" t="str">
        <f t="shared" si="97"/>
        <v>David</v>
      </c>
      <c r="C388" t="s">
        <v>30</v>
      </c>
      <c r="D388" t="s">
        <v>2528</v>
      </c>
      <c r="E388" t="str">
        <f t="shared" si="98"/>
        <v>Wilson</v>
      </c>
      <c r="F388" t="str">
        <f t="shared" si="99"/>
        <v>DAVIDWILSON</v>
      </c>
      <c r="G388" t="str">
        <f t="shared" si="100"/>
        <v>DAVIDWILSON</v>
      </c>
      <c r="H388" t="str">
        <f t="shared" si="101"/>
        <v>DAV WILSON</v>
      </c>
      <c r="I388" t="str">
        <f t="shared" si="102"/>
        <v>DAV.W</v>
      </c>
      <c r="J388" t="s">
        <v>42</v>
      </c>
      <c r="K388" t="s">
        <v>2529</v>
      </c>
      <c r="L388" t="s">
        <v>965</v>
      </c>
      <c r="M388" t="s">
        <v>200</v>
      </c>
      <c r="N388">
        <v>33306</v>
      </c>
      <c r="O388" t="str">
        <f t="shared" si="103"/>
        <v>33306</v>
      </c>
      <c r="P388" t="str">
        <f t="shared" si="96"/>
        <v>3742 Kenwood Place, Fort Lauderdale, FL, 33306</v>
      </c>
      <c r="Q388" t="s">
        <v>2530</v>
      </c>
      <c r="R388" t="str">
        <f t="shared" si="104"/>
        <v>DavidJWilson</v>
      </c>
      <c r="S388" t="str">
        <f t="shared" si="105"/>
        <v>aol.com</v>
      </c>
      <c r="T388" t="str">
        <f t="shared" si="106"/>
        <v>aol</v>
      </c>
      <c r="U388" t="str">
        <f t="shared" si="107"/>
        <v>DavidJWilson</v>
      </c>
      <c r="V388" t="s">
        <v>2531</v>
      </c>
      <c r="W388" t="str">
        <f t="shared" si="108"/>
        <v>954-</v>
      </c>
      <c r="X388" t="str">
        <f t="shared" si="109"/>
        <v>538</v>
      </c>
      <c r="Y388" t="str">
        <f t="shared" si="110"/>
        <v>-7145</v>
      </c>
      <c r="Z388" t="str">
        <f>SUBSTITUTE(V388,"-","|",2)</f>
        <v>954-538|7145</v>
      </c>
      <c r="AA388" t="str">
        <f>LEFT(V388,3)</f>
        <v>954</v>
      </c>
      <c r="AB388" t="str">
        <f>MID(V388,5,3)</f>
        <v>538</v>
      </c>
      <c r="AC388" t="str">
        <f>RIGHT(V388,4)</f>
        <v>7145</v>
      </c>
      <c r="AD388" s="3" t="s">
        <v>2532</v>
      </c>
      <c r="AE388" s="3" t="str">
        <f t="shared" si="111"/>
        <v>4363</v>
      </c>
    </row>
    <row r="389" spans="1:31">
      <c r="A389" t="s">
        <v>2443</v>
      </c>
      <c r="B389" t="str">
        <f t="shared" si="97"/>
        <v>Kim</v>
      </c>
      <c r="C389" t="s">
        <v>261</v>
      </c>
      <c r="D389" t="s">
        <v>2533</v>
      </c>
      <c r="E389" t="str">
        <f t="shared" si="98"/>
        <v>Hines</v>
      </c>
      <c r="F389" t="str">
        <f t="shared" si="99"/>
        <v>KIMHINES</v>
      </c>
      <c r="G389" t="str">
        <f t="shared" si="100"/>
        <v>KIMHINES</v>
      </c>
      <c r="H389" t="str">
        <f t="shared" si="101"/>
        <v>KIM HINES</v>
      </c>
      <c r="I389" t="str">
        <f t="shared" si="102"/>
        <v>KIM.H</v>
      </c>
      <c r="J389" t="s">
        <v>32</v>
      </c>
      <c r="K389" t="s">
        <v>2534</v>
      </c>
      <c r="L389" t="s">
        <v>1309</v>
      </c>
      <c r="M389" t="s">
        <v>200</v>
      </c>
      <c r="N389">
        <v>33624</v>
      </c>
      <c r="O389" t="str">
        <f t="shared" si="103"/>
        <v>33624</v>
      </c>
      <c r="P389" t="str">
        <f t="shared" si="96"/>
        <v>2312 Marion Drive, Tampa, FL, 33624</v>
      </c>
      <c r="Q389" t="s">
        <v>2535</v>
      </c>
      <c r="R389" t="str">
        <f t="shared" si="104"/>
        <v>KimWHines</v>
      </c>
      <c r="S389" t="str">
        <f t="shared" si="105"/>
        <v>aol.com</v>
      </c>
      <c r="T389" t="str">
        <f t="shared" si="106"/>
        <v>aol</v>
      </c>
      <c r="U389" t="str">
        <f t="shared" si="107"/>
        <v>KimWHines</v>
      </c>
      <c r="V389" t="s">
        <v>2536</v>
      </c>
      <c r="W389" t="str">
        <f t="shared" si="108"/>
        <v>813-</v>
      </c>
      <c r="X389" t="str">
        <f t="shared" si="109"/>
        <v>435</v>
      </c>
      <c r="Y389" t="str">
        <f t="shared" si="110"/>
        <v>-8079</v>
      </c>
      <c r="Z389" t="str">
        <f>SUBSTITUTE(V389,"-","|",2)</f>
        <v>813-435|8079</v>
      </c>
      <c r="AA389" t="str">
        <f>LEFT(V389,3)</f>
        <v>813</v>
      </c>
      <c r="AB389" t="str">
        <f>MID(V389,5,3)</f>
        <v>435</v>
      </c>
      <c r="AC389" t="str">
        <f>RIGHT(V389,4)</f>
        <v>8079</v>
      </c>
      <c r="AD389" s="3" t="s">
        <v>2537</v>
      </c>
      <c r="AE389" s="3" t="str">
        <f t="shared" si="111"/>
        <v>036</v>
      </c>
    </row>
    <row r="390" spans="1:31">
      <c r="A390" t="s">
        <v>2538</v>
      </c>
      <c r="B390" t="str">
        <f t="shared" si="97"/>
        <v>Louise</v>
      </c>
      <c r="C390" t="s">
        <v>141</v>
      </c>
      <c r="D390" t="s">
        <v>2539</v>
      </c>
      <c r="E390" t="str">
        <f t="shared" si="98"/>
        <v>Benner</v>
      </c>
      <c r="F390" t="str">
        <f t="shared" si="99"/>
        <v>LOUISEBENNER</v>
      </c>
      <c r="G390" t="str">
        <f t="shared" si="100"/>
        <v>LOUISEBENNER</v>
      </c>
      <c r="H390" t="str">
        <f t="shared" si="101"/>
        <v>LOU BENNER</v>
      </c>
      <c r="I390" t="str">
        <f t="shared" si="102"/>
        <v>LOU.B</v>
      </c>
      <c r="J390" t="s">
        <v>32</v>
      </c>
      <c r="K390" t="s">
        <v>2540</v>
      </c>
      <c r="L390" t="s">
        <v>1625</v>
      </c>
      <c r="M390" t="s">
        <v>71</v>
      </c>
      <c r="N390">
        <v>70601</v>
      </c>
      <c r="O390" t="str">
        <f t="shared" si="103"/>
        <v>70601</v>
      </c>
      <c r="P390" t="str">
        <f t="shared" si="96"/>
        <v>2872 Sarah Drive, Lake Charles, LA, 70601</v>
      </c>
      <c r="Q390" t="s">
        <v>2541</v>
      </c>
      <c r="R390" t="str">
        <f t="shared" si="104"/>
        <v>LouiseEBenner</v>
      </c>
      <c r="S390" t="str">
        <f t="shared" si="105"/>
        <v>hotmail.com</v>
      </c>
      <c r="T390" t="str">
        <f t="shared" si="106"/>
        <v>hotmail</v>
      </c>
      <c r="U390" t="str">
        <f t="shared" si="107"/>
        <v>LouiseEBenner</v>
      </c>
      <c r="V390" t="s">
        <v>2542</v>
      </c>
      <c r="W390" t="str">
        <f t="shared" si="108"/>
        <v>337-</v>
      </c>
      <c r="X390" t="str">
        <f t="shared" si="109"/>
        <v>430</v>
      </c>
      <c r="Y390" t="str">
        <f t="shared" si="110"/>
        <v>-3692</v>
      </c>
      <c r="Z390" t="str">
        <f>SUBSTITUTE(V390,"-","|",2)</f>
        <v>337-430|3692</v>
      </c>
      <c r="AA390" t="str">
        <f>LEFT(V390,3)</f>
        <v>337</v>
      </c>
      <c r="AB390" t="str">
        <f>MID(V390,5,3)</f>
        <v>430</v>
      </c>
      <c r="AC390" t="str">
        <f>RIGHT(V390,4)</f>
        <v>3692</v>
      </c>
      <c r="AD390" s="3" t="s">
        <v>2543</v>
      </c>
      <c r="AE390" s="3" t="str">
        <f t="shared" si="111"/>
        <v>9915</v>
      </c>
    </row>
    <row r="391" spans="1:31">
      <c r="A391" t="s">
        <v>2544</v>
      </c>
      <c r="B391" t="str">
        <f t="shared" si="97"/>
        <v>Garry</v>
      </c>
      <c r="C391" t="s">
        <v>30</v>
      </c>
      <c r="D391" t="s">
        <v>2545</v>
      </c>
      <c r="E391" t="str">
        <f t="shared" si="98"/>
        <v>Pannell</v>
      </c>
      <c r="F391" t="str">
        <f t="shared" si="99"/>
        <v>GARRYPANNELL</v>
      </c>
      <c r="G391" t="str">
        <f t="shared" si="100"/>
        <v>GARRYPANNELL</v>
      </c>
      <c r="H391" t="str">
        <f t="shared" si="101"/>
        <v>GAR PANNELL</v>
      </c>
      <c r="I391" t="str">
        <f t="shared" si="102"/>
        <v>GAR.P</v>
      </c>
      <c r="J391" t="s">
        <v>42</v>
      </c>
      <c r="K391" t="s">
        <v>2546</v>
      </c>
      <c r="L391" t="s">
        <v>2547</v>
      </c>
      <c r="M391" t="s">
        <v>301</v>
      </c>
      <c r="N391">
        <v>45801</v>
      </c>
      <c r="O391" t="str">
        <f t="shared" si="103"/>
        <v>45801</v>
      </c>
      <c r="P391" t="str">
        <f t="shared" si="96"/>
        <v>1757 Upland Avenue, Lima, OH, 45801</v>
      </c>
      <c r="Q391" t="s">
        <v>2548</v>
      </c>
      <c r="R391" t="str">
        <f t="shared" si="104"/>
        <v>GarryJPannell</v>
      </c>
      <c r="S391" t="str">
        <f t="shared" si="105"/>
        <v>aol.com</v>
      </c>
      <c r="T391" t="str">
        <f t="shared" si="106"/>
        <v>aol</v>
      </c>
      <c r="U391" t="str">
        <f t="shared" si="107"/>
        <v>GarryJPannell</v>
      </c>
      <c r="V391" t="s">
        <v>2549</v>
      </c>
      <c r="W391" t="str">
        <f t="shared" si="108"/>
        <v>419-</v>
      </c>
      <c r="X391" t="str">
        <f t="shared" si="109"/>
        <v>860</v>
      </c>
      <c r="Y391" t="str">
        <f t="shared" si="110"/>
        <v>-5124</v>
      </c>
      <c r="Z391" t="str">
        <f>SUBSTITUTE(V391,"-","|",2)</f>
        <v>419-860|5124</v>
      </c>
      <c r="AA391" t="str">
        <f>LEFT(V391,3)</f>
        <v>419</v>
      </c>
      <c r="AB391" t="str">
        <f>MID(V391,5,3)</f>
        <v>860</v>
      </c>
      <c r="AC391" t="str">
        <f>RIGHT(V391,4)</f>
        <v>5124</v>
      </c>
      <c r="AD391" s="3" t="s">
        <v>2550</v>
      </c>
      <c r="AE391" s="3" t="str">
        <f t="shared" si="111"/>
        <v>1094</v>
      </c>
    </row>
    <row r="392" spans="1:31">
      <c r="A392" t="s">
        <v>1269</v>
      </c>
      <c r="B392" t="str">
        <f t="shared" si="97"/>
        <v>William</v>
      </c>
      <c r="C392" t="s">
        <v>132</v>
      </c>
      <c r="D392" t="s">
        <v>2443</v>
      </c>
      <c r="E392" t="str">
        <f t="shared" si="98"/>
        <v>Kim</v>
      </c>
      <c r="F392" t="str">
        <f t="shared" si="99"/>
        <v>WILLIAMKIM</v>
      </c>
      <c r="G392" t="str">
        <f t="shared" si="100"/>
        <v>WILLIAMKIM</v>
      </c>
      <c r="H392" t="str">
        <f t="shared" si="101"/>
        <v>WIL KIM</v>
      </c>
      <c r="I392" t="str">
        <f t="shared" si="102"/>
        <v>WIL.K</v>
      </c>
      <c r="J392" t="s">
        <v>42</v>
      </c>
      <c r="K392" t="s">
        <v>2551</v>
      </c>
      <c r="L392" t="s">
        <v>399</v>
      </c>
      <c r="M392" t="s">
        <v>265</v>
      </c>
      <c r="N392">
        <v>2141</v>
      </c>
      <c r="O392" t="str">
        <f t="shared" si="103"/>
        <v>02141</v>
      </c>
      <c r="P392" t="str">
        <f t="shared" si="96"/>
        <v>4352 Russell Street, Cambridge, MA, 2141</v>
      </c>
      <c r="Q392" t="s">
        <v>2552</v>
      </c>
      <c r="R392" t="str">
        <f t="shared" si="104"/>
        <v>WilliamRKim</v>
      </c>
      <c r="S392" t="str">
        <f t="shared" si="105"/>
        <v>aol.com</v>
      </c>
      <c r="T392" t="str">
        <f t="shared" si="106"/>
        <v>aol</v>
      </c>
      <c r="U392" t="str">
        <f t="shared" si="107"/>
        <v>WilliamRKim</v>
      </c>
      <c r="V392" t="s">
        <v>2553</v>
      </c>
      <c r="W392" t="str">
        <f t="shared" si="108"/>
        <v>978-</v>
      </c>
      <c r="X392" t="str">
        <f t="shared" si="109"/>
        <v>965</v>
      </c>
      <c r="Y392" t="str">
        <f t="shared" si="110"/>
        <v>-4662</v>
      </c>
      <c r="Z392" t="str">
        <f>SUBSTITUTE(V392,"-","|",2)</f>
        <v>978-965|4662</v>
      </c>
      <c r="AA392" t="str">
        <f>LEFT(V392,3)</f>
        <v>978</v>
      </c>
      <c r="AB392" t="str">
        <f>MID(V392,5,3)</f>
        <v>965</v>
      </c>
      <c r="AC392" t="str">
        <f>RIGHT(V392,4)</f>
        <v>4662</v>
      </c>
      <c r="AD392" s="3" t="s">
        <v>2554</v>
      </c>
      <c r="AE392" s="3" t="str">
        <f t="shared" si="111"/>
        <v>853</v>
      </c>
    </row>
    <row r="393" spans="1:31">
      <c r="A393" t="s">
        <v>2555</v>
      </c>
      <c r="B393" t="str">
        <f t="shared" si="97"/>
        <v>Joyce</v>
      </c>
      <c r="C393" t="s">
        <v>58</v>
      </c>
      <c r="D393" t="s">
        <v>2556</v>
      </c>
      <c r="E393" t="str">
        <f t="shared" si="98"/>
        <v>Millard</v>
      </c>
      <c r="F393" t="str">
        <f t="shared" si="99"/>
        <v>JOYCEMILLARD</v>
      </c>
      <c r="G393" t="str">
        <f t="shared" si="100"/>
        <v>JOYCEMILLARD</v>
      </c>
      <c r="H393" t="str">
        <f t="shared" si="101"/>
        <v>JOY MILLARD</v>
      </c>
      <c r="I393" t="str">
        <f t="shared" si="102"/>
        <v>JOY.M</v>
      </c>
      <c r="J393" t="s">
        <v>32</v>
      </c>
      <c r="K393" t="s">
        <v>2557</v>
      </c>
      <c r="L393" t="s">
        <v>1949</v>
      </c>
      <c r="M393" t="s">
        <v>45</v>
      </c>
      <c r="N393">
        <v>95826</v>
      </c>
      <c r="O393" t="str">
        <f t="shared" si="103"/>
        <v>95826</v>
      </c>
      <c r="P393" t="str">
        <f t="shared" si="96"/>
        <v>4105 Frederick Street, Sacramento, CA, 95826</v>
      </c>
      <c r="Q393" t="s">
        <v>2558</v>
      </c>
      <c r="R393" t="str">
        <f t="shared" si="104"/>
        <v>JoyceMMillard</v>
      </c>
      <c r="S393" t="str">
        <f t="shared" si="105"/>
        <v>aol.com</v>
      </c>
      <c r="T393" t="str">
        <f t="shared" si="106"/>
        <v>aol</v>
      </c>
      <c r="U393" t="str">
        <f t="shared" si="107"/>
        <v>JoyceMMillard</v>
      </c>
      <c r="V393" t="s">
        <v>2559</v>
      </c>
      <c r="W393" t="str">
        <f t="shared" si="108"/>
        <v>916-</v>
      </c>
      <c r="X393" t="str">
        <f t="shared" si="109"/>
        <v>276</v>
      </c>
      <c r="Y393" t="str">
        <f t="shared" si="110"/>
        <v>-4694</v>
      </c>
      <c r="Z393" t="str">
        <f>SUBSTITUTE(V393,"-","|",2)</f>
        <v>916-276|4694</v>
      </c>
      <c r="AA393" t="str">
        <f>LEFT(V393,3)</f>
        <v>916</v>
      </c>
      <c r="AB393" t="str">
        <f>MID(V393,5,3)</f>
        <v>276</v>
      </c>
      <c r="AC393" t="str">
        <f>RIGHT(V393,4)</f>
        <v>4694</v>
      </c>
      <c r="AD393" s="3" t="s">
        <v>2560</v>
      </c>
      <c r="AE393" s="3" t="str">
        <f t="shared" si="111"/>
        <v>998</v>
      </c>
    </row>
    <row r="394" spans="1:31">
      <c r="A394" t="s">
        <v>49</v>
      </c>
      <c r="B394" t="str">
        <f t="shared" si="97"/>
        <v>Susan</v>
      </c>
      <c r="C394" t="s">
        <v>40</v>
      </c>
      <c r="D394" t="s">
        <v>2561</v>
      </c>
      <c r="E394" t="str">
        <f t="shared" si="98"/>
        <v>Valentine</v>
      </c>
      <c r="F394" t="str">
        <f t="shared" si="99"/>
        <v>SUSANVALENTINE</v>
      </c>
      <c r="G394" t="str">
        <f t="shared" si="100"/>
        <v>SUSANVALENTINE</v>
      </c>
      <c r="H394" t="str">
        <f t="shared" si="101"/>
        <v>SUS VALENTINE</v>
      </c>
      <c r="I394" t="str">
        <f t="shared" si="102"/>
        <v>SUS.V</v>
      </c>
      <c r="J394" t="s">
        <v>32</v>
      </c>
      <c r="K394" t="s">
        <v>2562</v>
      </c>
      <c r="L394" t="s">
        <v>2563</v>
      </c>
      <c r="M394" t="s">
        <v>413</v>
      </c>
      <c r="N394">
        <v>21136</v>
      </c>
      <c r="O394" t="str">
        <f t="shared" si="103"/>
        <v>21136</v>
      </c>
      <c r="P394" t="str">
        <f t="shared" si="96"/>
        <v>2064 Marie Street, Reisterstown, MD, 21136</v>
      </c>
      <c r="Q394" t="s">
        <v>2564</v>
      </c>
      <c r="R394" t="str">
        <f t="shared" si="104"/>
        <v>SusanSValentine</v>
      </c>
      <c r="S394" t="str">
        <f t="shared" si="105"/>
        <v>gmail.com</v>
      </c>
      <c r="T394" t="str">
        <f t="shared" si="106"/>
        <v>gmail</v>
      </c>
      <c r="U394" t="str">
        <f t="shared" si="107"/>
        <v>SusanSValentine</v>
      </c>
      <c r="V394" t="s">
        <v>2565</v>
      </c>
      <c r="W394" t="str">
        <f t="shared" si="108"/>
        <v>410-</v>
      </c>
      <c r="X394" t="str">
        <f t="shared" si="109"/>
        <v>861</v>
      </c>
      <c r="Y394" t="str">
        <f t="shared" si="110"/>
        <v>-1596</v>
      </c>
      <c r="Z394" t="str">
        <f>SUBSTITUTE(V394,"-","|",2)</f>
        <v>410-861|1596</v>
      </c>
      <c r="AA394" t="str">
        <f>LEFT(V394,3)</f>
        <v>410</v>
      </c>
      <c r="AB394" t="str">
        <f>MID(V394,5,3)</f>
        <v>861</v>
      </c>
      <c r="AC394" t="str">
        <f>RIGHT(V394,4)</f>
        <v>1596</v>
      </c>
      <c r="AD394" s="3" t="s">
        <v>2566</v>
      </c>
      <c r="AE394" s="3" t="str">
        <f t="shared" si="111"/>
        <v>8580</v>
      </c>
    </row>
    <row r="395" spans="1:31">
      <c r="A395" t="s">
        <v>821</v>
      </c>
      <c r="B395" t="str">
        <f t="shared" si="97"/>
        <v>Charles</v>
      </c>
      <c r="C395" t="s">
        <v>58</v>
      </c>
      <c r="D395" t="s">
        <v>1024</v>
      </c>
      <c r="E395" t="str">
        <f t="shared" si="98"/>
        <v>Roberts</v>
      </c>
      <c r="F395" t="str">
        <f t="shared" si="99"/>
        <v>CHARLESROBERTS</v>
      </c>
      <c r="G395" t="str">
        <f t="shared" si="100"/>
        <v>CHARLESROBERTS</v>
      </c>
      <c r="H395" t="str">
        <f t="shared" si="101"/>
        <v>CHA ROBERTS</v>
      </c>
      <c r="I395" t="str">
        <f t="shared" si="102"/>
        <v>CHA.R</v>
      </c>
      <c r="J395" t="s">
        <v>42</v>
      </c>
      <c r="K395" t="s">
        <v>2567</v>
      </c>
      <c r="L395" t="s">
        <v>1545</v>
      </c>
      <c r="M395" t="s">
        <v>1546</v>
      </c>
      <c r="N395">
        <v>89109</v>
      </c>
      <c r="O395" t="str">
        <f t="shared" si="103"/>
        <v>89109</v>
      </c>
      <c r="P395" t="str">
        <f t="shared" si="96"/>
        <v>283 Hickory Ridge Drive, Las Vegas, NV, 89109</v>
      </c>
      <c r="Q395" t="s">
        <v>2568</v>
      </c>
      <c r="R395" t="str">
        <f t="shared" si="104"/>
        <v>CharlesMRoberts</v>
      </c>
      <c r="S395" t="str">
        <f t="shared" si="105"/>
        <v>hotmail.com</v>
      </c>
      <c r="T395" t="str">
        <f t="shared" si="106"/>
        <v>hotmail</v>
      </c>
      <c r="U395" t="str">
        <f t="shared" si="107"/>
        <v>CharlesMRoberts</v>
      </c>
      <c r="V395" t="s">
        <v>2569</v>
      </c>
      <c r="W395" t="str">
        <f t="shared" si="108"/>
        <v>702-</v>
      </c>
      <c r="X395" t="str">
        <f t="shared" si="109"/>
        <v>691</v>
      </c>
      <c r="Y395" t="str">
        <f t="shared" si="110"/>
        <v>-7861</v>
      </c>
      <c r="Z395" t="str">
        <f>SUBSTITUTE(V395,"-","|",2)</f>
        <v>702-691|7861</v>
      </c>
      <c r="AA395" t="str">
        <f>LEFT(V395,3)</f>
        <v>702</v>
      </c>
      <c r="AB395" t="str">
        <f>MID(V395,5,3)</f>
        <v>691</v>
      </c>
      <c r="AC395" t="str">
        <f>RIGHT(V395,4)</f>
        <v>7861</v>
      </c>
      <c r="AD395" s="3" t="s">
        <v>2570</v>
      </c>
      <c r="AE395" s="3" t="str">
        <f t="shared" si="111"/>
        <v>906</v>
      </c>
    </row>
    <row r="396" spans="1:31">
      <c r="A396" t="s">
        <v>2571</v>
      </c>
      <c r="B396" t="str">
        <f t="shared" si="97"/>
        <v>Carlos</v>
      </c>
      <c r="C396" t="s">
        <v>58</v>
      </c>
      <c r="D396" t="s">
        <v>2572</v>
      </c>
      <c r="E396" t="str">
        <f t="shared" si="98"/>
        <v>Na</v>
      </c>
      <c r="F396" t="str">
        <f t="shared" si="99"/>
        <v>CARLOSNA</v>
      </c>
      <c r="G396" t="str">
        <f t="shared" si="100"/>
        <v>CARLOSNA</v>
      </c>
      <c r="H396" t="str">
        <f t="shared" si="101"/>
        <v>CAR NA</v>
      </c>
      <c r="I396" t="str">
        <f t="shared" si="102"/>
        <v>CAR.N</v>
      </c>
      <c r="J396" t="s">
        <v>42</v>
      </c>
      <c r="K396" t="s">
        <v>2573</v>
      </c>
      <c r="L396" t="s">
        <v>2574</v>
      </c>
      <c r="M396" t="s">
        <v>1020</v>
      </c>
      <c r="N396">
        <v>29576</v>
      </c>
      <c r="O396" t="str">
        <f t="shared" si="103"/>
        <v>29576</v>
      </c>
      <c r="P396" t="str">
        <f t="shared" si="96"/>
        <v>2290 Khale Street, Murrells Inlet, SC, 29576</v>
      </c>
      <c r="Q396" t="s">
        <v>2575</v>
      </c>
      <c r="R396" t="str">
        <f t="shared" si="104"/>
        <v>CarlosMNa</v>
      </c>
      <c r="S396" t="str">
        <f t="shared" si="105"/>
        <v>gmail.com</v>
      </c>
      <c r="T396" t="str">
        <f t="shared" si="106"/>
        <v>gmail</v>
      </c>
      <c r="U396" t="str">
        <f t="shared" si="107"/>
        <v>CarlosMNa</v>
      </c>
      <c r="V396" t="s">
        <v>2576</v>
      </c>
      <c r="W396" t="str">
        <f t="shared" si="108"/>
        <v>843-</v>
      </c>
      <c r="X396" t="str">
        <f t="shared" si="109"/>
        <v>652</v>
      </c>
      <c r="Y396" t="str">
        <f t="shared" si="110"/>
        <v>-1588</v>
      </c>
      <c r="Z396" t="str">
        <f>SUBSTITUTE(V396,"-","|",2)</f>
        <v>843-652|1588</v>
      </c>
      <c r="AA396" t="str">
        <f>LEFT(V396,3)</f>
        <v>843</v>
      </c>
      <c r="AB396" t="str">
        <f>MID(V396,5,3)</f>
        <v>652</v>
      </c>
      <c r="AC396" t="str">
        <f>RIGHT(V396,4)</f>
        <v>1588</v>
      </c>
      <c r="AD396" s="3" t="s">
        <v>2577</v>
      </c>
      <c r="AE396" s="3" t="str">
        <f t="shared" si="111"/>
        <v>301</v>
      </c>
    </row>
    <row r="397" spans="1:31">
      <c r="A397" t="s">
        <v>1617</v>
      </c>
      <c r="B397" t="str">
        <f t="shared" si="97"/>
        <v>Theresa</v>
      </c>
      <c r="C397" t="s">
        <v>30</v>
      </c>
      <c r="D397" t="s">
        <v>351</v>
      </c>
      <c r="E397" t="str">
        <f t="shared" si="98"/>
        <v>Craig</v>
      </c>
      <c r="F397" t="str">
        <f t="shared" si="99"/>
        <v>THERESACRAIG</v>
      </c>
      <c r="G397" t="str">
        <f t="shared" si="100"/>
        <v>THERESACRAIG</v>
      </c>
      <c r="H397" t="str">
        <f t="shared" si="101"/>
        <v>THE CRAIG</v>
      </c>
      <c r="I397" t="str">
        <f t="shared" si="102"/>
        <v>THE.C</v>
      </c>
      <c r="J397" t="s">
        <v>32</v>
      </c>
      <c r="K397" t="s">
        <v>2578</v>
      </c>
      <c r="L397" t="s">
        <v>1484</v>
      </c>
      <c r="M397" t="s">
        <v>482</v>
      </c>
      <c r="N397">
        <v>73102</v>
      </c>
      <c r="O397" t="str">
        <f t="shared" si="103"/>
        <v>73102</v>
      </c>
      <c r="P397" t="str">
        <f t="shared" si="96"/>
        <v>2374 Luke Lane, Oklahoma City, OK, 73102</v>
      </c>
      <c r="Q397" t="s">
        <v>2579</v>
      </c>
      <c r="R397" t="str">
        <f t="shared" si="104"/>
        <v>TheresaJCraig</v>
      </c>
      <c r="S397" t="str">
        <f t="shared" si="105"/>
        <v>hotmail.com</v>
      </c>
      <c r="T397" t="str">
        <f t="shared" si="106"/>
        <v>hotmail</v>
      </c>
      <c r="U397" t="str">
        <f t="shared" si="107"/>
        <v>TheresaJCraig</v>
      </c>
      <c r="V397" t="s">
        <v>2580</v>
      </c>
      <c r="W397" t="str">
        <f t="shared" si="108"/>
        <v>580-</v>
      </c>
      <c r="X397" t="str">
        <f t="shared" si="109"/>
        <v>284</v>
      </c>
      <c r="Y397" t="str">
        <f t="shared" si="110"/>
        <v>-2663</v>
      </c>
      <c r="Z397" t="str">
        <f>SUBSTITUTE(V397,"-","|",2)</f>
        <v>580-284|2663</v>
      </c>
      <c r="AA397" t="str">
        <f>LEFT(V397,3)</f>
        <v>580</v>
      </c>
      <c r="AB397" t="str">
        <f>MID(V397,5,3)</f>
        <v>284</v>
      </c>
      <c r="AC397" t="str">
        <f>RIGHT(V397,4)</f>
        <v>2663</v>
      </c>
      <c r="AD397" s="3" t="s">
        <v>2581</v>
      </c>
      <c r="AE397" s="3" t="str">
        <f t="shared" si="111"/>
        <v>679</v>
      </c>
    </row>
    <row r="398" spans="1:31">
      <c r="A398" t="s">
        <v>1524</v>
      </c>
      <c r="B398" t="str">
        <f t="shared" si="97"/>
        <v>Paul</v>
      </c>
      <c r="C398" t="s">
        <v>343</v>
      </c>
      <c r="D398" t="s">
        <v>2582</v>
      </c>
      <c r="E398" t="str">
        <f t="shared" si="98"/>
        <v>Curtis</v>
      </c>
      <c r="F398" t="str">
        <f t="shared" si="99"/>
        <v>PAULCURTIS</v>
      </c>
      <c r="G398" t="str">
        <f t="shared" si="100"/>
        <v>PAULCURTIS</v>
      </c>
      <c r="H398" t="str">
        <f t="shared" si="101"/>
        <v>PAU CURTIS</v>
      </c>
      <c r="I398" t="str">
        <f t="shared" si="102"/>
        <v>PAU.C</v>
      </c>
      <c r="J398" t="s">
        <v>42</v>
      </c>
      <c r="K398" t="s">
        <v>2583</v>
      </c>
      <c r="L398" t="s">
        <v>1484</v>
      </c>
      <c r="M398" t="s">
        <v>482</v>
      </c>
      <c r="N398">
        <v>73109</v>
      </c>
      <c r="O398" t="str">
        <f t="shared" si="103"/>
        <v>73109</v>
      </c>
      <c r="P398" t="str">
        <f t="shared" si="96"/>
        <v>3750 Simpson Square, Oklahoma City, OK, 73109</v>
      </c>
      <c r="Q398" t="s">
        <v>2584</v>
      </c>
      <c r="R398" t="str">
        <f t="shared" si="104"/>
        <v>PaulLCurtis</v>
      </c>
      <c r="S398" t="str">
        <f t="shared" si="105"/>
        <v>aol.com</v>
      </c>
      <c r="T398" t="str">
        <f t="shared" si="106"/>
        <v>aol</v>
      </c>
      <c r="U398" t="str">
        <f t="shared" si="107"/>
        <v>PaulLCurtis</v>
      </c>
      <c r="V398" t="s">
        <v>2585</v>
      </c>
      <c r="W398" t="str">
        <f t="shared" si="108"/>
        <v>580-</v>
      </c>
      <c r="X398" t="str">
        <f t="shared" si="109"/>
        <v>565</v>
      </c>
      <c r="Y398" t="str">
        <f t="shared" si="110"/>
        <v>-5337</v>
      </c>
      <c r="Z398" t="str">
        <f>SUBSTITUTE(V398,"-","|",2)</f>
        <v>580-565|5337</v>
      </c>
      <c r="AA398" t="str">
        <f>LEFT(V398,3)</f>
        <v>580</v>
      </c>
      <c r="AB398" t="str">
        <f>MID(V398,5,3)</f>
        <v>565</v>
      </c>
      <c r="AC398" t="str">
        <f>RIGHT(V398,4)</f>
        <v>5337</v>
      </c>
      <c r="AD398" s="3" t="s">
        <v>2586</v>
      </c>
      <c r="AE398" s="3" t="str">
        <f t="shared" si="111"/>
        <v>1971</v>
      </c>
    </row>
    <row r="399" spans="1:31">
      <c r="A399" t="s">
        <v>2587</v>
      </c>
      <c r="B399" t="str">
        <f t="shared" si="97"/>
        <v>Henry</v>
      </c>
      <c r="C399" t="s">
        <v>182</v>
      </c>
      <c r="D399" t="s">
        <v>2588</v>
      </c>
      <c r="E399" t="str">
        <f t="shared" si="98"/>
        <v>Rosenbaum</v>
      </c>
      <c r="F399" t="str">
        <f t="shared" si="99"/>
        <v>HENRYROSENBAUM</v>
      </c>
      <c r="G399" t="str">
        <f t="shared" si="100"/>
        <v>HENRYROSENBAUM</v>
      </c>
      <c r="H399" t="str">
        <f t="shared" si="101"/>
        <v>HEN ROSENBAUM</v>
      </c>
      <c r="I399" t="str">
        <f t="shared" si="102"/>
        <v>HEN.R</v>
      </c>
      <c r="J399" t="s">
        <v>42</v>
      </c>
      <c r="K399" t="s">
        <v>2589</v>
      </c>
      <c r="L399" t="s">
        <v>2590</v>
      </c>
      <c r="M399" t="s">
        <v>53</v>
      </c>
      <c r="N399">
        <v>7036</v>
      </c>
      <c r="O399" t="str">
        <f t="shared" si="103"/>
        <v>07036</v>
      </c>
      <c r="P399" t="str">
        <f t="shared" si="96"/>
        <v>586 Caynor Circle, Linden, NJ, 7036</v>
      </c>
      <c r="Q399" t="s">
        <v>2591</v>
      </c>
      <c r="R399" t="str">
        <f t="shared" si="104"/>
        <v>HenryCRosenbaum</v>
      </c>
      <c r="S399" t="str">
        <f t="shared" si="105"/>
        <v>gmail.com</v>
      </c>
      <c r="T399" t="str">
        <f t="shared" si="106"/>
        <v>gmail</v>
      </c>
      <c r="U399" t="str">
        <f t="shared" si="107"/>
        <v>HenryCRosenbaum</v>
      </c>
      <c r="V399" t="s">
        <v>2592</v>
      </c>
      <c r="W399" t="str">
        <f t="shared" si="108"/>
        <v>908-</v>
      </c>
      <c r="X399" t="str">
        <f t="shared" si="109"/>
        <v>474</v>
      </c>
      <c r="Y399" t="str">
        <f t="shared" si="110"/>
        <v>-4556</v>
      </c>
      <c r="Z399" t="str">
        <f>SUBSTITUTE(V399,"-","|",2)</f>
        <v>908-474|4556</v>
      </c>
      <c r="AA399" t="str">
        <f>LEFT(V399,3)</f>
        <v>908</v>
      </c>
      <c r="AB399" t="str">
        <f>MID(V399,5,3)</f>
        <v>474</v>
      </c>
      <c r="AC399" t="str">
        <f>RIGHT(V399,4)</f>
        <v>4556</v>
      </c>
      <c r="AD399" s="3" t="s">
        <v>2593</v>
      </c>
      <c r="AE399" s="3" t="str">
        <f t="shared" si="111"/>
        <v>0389</v>
      </c>
    </row>
    <row r="400" spans="1:31">
      <c r="A400" t="s">
        <v>251</v>
      </c>
      <c r="B400" t="str">
        <f t="shared" si="97"/>
        <v>Robert</v>
      </c>
      <c r="C400" t="s">
        <v>132</v>
      </c>
      <c r="D400" t="s">
        <v>2594</v>
      </c>
      <c r="E400" t="str">
        <f t="shared" si="98"/>
        <v>Brock</v>
      </c>
      <c r="F400" t="str">
        <f t="shared" si="99"/>
        <v>ROBERTBROCK</v>
      </c>
      <c r="G400" t="str">
        <f t="shared" si="100"/>
        <v>ROBERTBROCK</v>
      </c>
      <c r="H400" t="str">
        <f t="shared" si="101"/>
        <v>ROB BROCK</v>
      </c>
      <c r="I400" t="str">
        <f t="shared" si="102"/>
        <v>ROB.B</v>
      </c>
      <c r="J400" t="s">
        <v>42</v>
      </c>
      <c r="K400" t="s">
        <v>2595</v>
      </c>
      <c r="L400" t="s">
        <v>597</v>
      </c>
      <c r="M400" t="s">
        <v>53</v>
      </c>
      <c r="N400">
        <v>8901</v>
      </c>
      <c r="O400" t="str">
        <f t="shared" si="103"/>
        <v>08901</v>
      </c>
      <c r="P400" t="str">
        <f t="shared" si="96"/>
        <v>3374 Finwood Road, New Brunswick, NJ, 8901</v>
      </c>
      <c r="Q400" t="s">
        <v>2596</v>
      </c>
      <c r="R400" t="str">
        <f t="shared" si="104"/>
        <v>RobertRBrock</v>
      </c>
      <c r="S400" t="str">
        <f t="shared" si="105"/>
        <v>gmail.com</v>
      </c>
      <c r="T400" t="str">
        <f t="shared" si="106"/>
        <v>gmail</v>
      </c>
      <c r="U400" t="str">
        <f t="shared" si="107"/>
        <v>RobertRBrock</v>
      </c>
      <c r="V400" t="s">
        <v>2597</v>
      </c>
      <c r="W400" t="str">
        <f t="shared" si="108"/>
        <v>732-</v>
      </c>
      <c r="X400" t="str">
        <f t="shared" si="109"/>
        <v>480</v>
      </c>
      <c r="Y400" t="str">
        <f t="shared" si="110"/>
        <v>-7525</v>
      </c>
      <c r="Z400" t="str">
        <f>SUBSTITUTE(V400,"-","|",2)</f>
        <v>732-480|7525</v>
      </c>
      <c r="AA400" t="str">
        <f>LEFT(V400,3)</f>
        <v>732</v>
      </c>
      <c r="AB400" t="str">
        <f>MID(V400,5,3)</f>
        <v>480</v>
      </c>
      <c r="AC400" t="str">
        <f>RIGHT(V400,4)</f>
        <v>7525</v>
      </c>
      <c r="AD400" s="3" t="s">
        <v>2598</v>
      </c>
      <c r="AE400" s="3" t="str">
        <f t="shared" si="111"/>
        <v>8425</v>
      </c>
    </row>
    <row r="401" spans="1:31">
      <c r="A401" t="s">
        <v>2599</v>
      </c>
      <c r="B401" t="str">
        <f t="shared" si="97"/>
        <v>Janice</v>
      </c>
      <c r="C401" t="s">
        <v>781</v>
      </c>
      <c r="D401" t="s">
        <v>2600</v>
      </c>
      <c r="E401" t="str">
        <f t="shared" si="98"/>
        <v>Krout</v>
      </c>
      <c r="F401" t="str">
        <f t="shared" si="99"/>
        <v>JANICEKROUT</v>
      </c>
      <c r="G401" t="str">
        <f t="shared" si="100"/>
        <v>JANICEKROUT</v>
      </c>
      <c r="H401" t="str">
        <f t="shared" si="101"/>
        <v>JAN KROUT</v>
      </c>
      <c r="I401" t="str">
        <f t="shared" si="102"/>
        <v>JAN.K</v>
      </c>
      <c r="J401" t="s">
        <v>32</v>
      </c>
      <c r="K401" t="s">
        <v>2601</v>
      </c>
      <c r="L401" t="s">
        <v>2602</v>
      </c>
      <c r="M401" t="s">
        <v>45</v>
      </c>
      <c r="N401">
        <v>95678</v>
      </c>
      <c r="O401" t="str">
        <f t="shared" si="103"/>
        <v>95678</v>
      </c>
      <c r="P401" t="str">
        <f t="shared" si="96"/>
        <v>4966 Highland View Drive, Roseville, CA, 95678</v>
      </c>
      <c r="Q401" t="s">
        <v>2603</v>
      </c>
      <c r="R401" t="str">
        <f t="shared" si="104"/>
        <v>JaniceNKrout</v>
      </c>
      <c r="S401" t="str">
        <f t="shared" si="105"/>
        <v>hotmail.com</v>
      </c>
      <c r="T401" t="str">
        <f t="shared" si="106"/>
        <v>hotmail</v>
      </c>
      <c r="U401" t="str">
        <f t="shared" si="107"/>
        <v>JaniceNKrout</v>
      </c>
      <c r="V401" t="s">
        <v>2604</v>
      </c>
      <c r="W401" t="str">
        <f t="shared" si="108"/>
        <v>916-</v>
      </c>
      <c r="X401" t="str">
        <f t="shared" si="109"/>
        <v>640</v>
      </c>
      <c r="Y401" t="str">
        <f t="shared" si="110"/>
        <v>-6029</v>
      </c>
      <c r="Z401" t="str">
        <f>SUBSTITUTE(V401,"-","|",2)</f>
        <v>916-640|6029</v>
      </c>
      <c r="AA401" t="str">
        <f>LEFT(V401,3)</f>
        <v>916</v>
      </c>
      <c r="AB401" t="str">
        <f>MID(V401,5,3)</f>
        <v>640</v>
      </c>
      <c r="AC401" t="str">
        <f>RIGHT(V401,4)</f>
        <v>6029</v>
      </c>
      <c r="AD401" s="3" t="s">
        <v>2605</v>
      </c>
      <c r="AE401" s="3" t="str">
        <f t="shared" si="111"/>
        <v>8535</v>
      </c>
    </row>
    <row r="402" spans="1:31">
      <c r="A402" t="s">
        <v>615</v>
      </c>
      <c r="B402" t="str">
        <f t="shared" si="97"/>
        <v>Mary</v>
      </c>
      <c r="C402" t="s">
        <v>213</v>
      </c>
      <c r="D402" t="s">
        <v>2606</v>
      </c>
      <c r="E402" t="str">
        <f t="shared" si="98"/>
        <v>Pearson</v>
      </c>
      <c r="F402" t="str">
        <f t="shared" si="99"/>
        <v>MARYPEARSON</v>
      </c>
      <c r="G402" t="str">
        <f t="shared" si="100"/>
        <v>MARYPEARSON</v>
      </c>
      <c r="H402" t="str">
        <f t="shared" si="101"/>
        <v>MAR PEARSON</v>
      </c>
      <c r="I402" t="str">
        <f t="shared" si="102"/>
        <v>MAR.P</v>
      </c>
      <c r="J402" t="s">
        <v>32</v>
      </c>
      <c r="K402" t="s">
        <v>2607</v>
      </c>
      <c r="L402" t="s">
        <v>2608</v>
      </c>
      <c r="M402" t="s">
        <v>104</v>
      </c>
      <c r="N402">
        <v>10952</v>
      </c>
      <c r="O402" t="str">
        <f t="shared" si="103"/>
        <v>10952</v>
      </c>
      <c r="P402" t="str">
        <f t="shared" si="96"/>
        <v>4041 Pallet Street, Monsey, NY, 10952</v>
      </c>
      <c r="Q402" t="s">
        <v>2609</v>
      </c>
      <c r="R402" t="str">
        <f t="shared" si="104"/>
        <v>MaryAPearson</v>
      </c>
      <c r="S402" t="str">
        <f t="shared" si="105"/>
        <v>hotmail.com</v>
      </c>
      <c r="T402" t="str">
        <f t="shared" si="106"/>
        <v>hotmail</v>
      </c>
      <c r="U402" t="str">
        <f t="shared" si="107"/>
        <v>MaryAPearson</v>
      </c>
      <c r="V402" t="s">
        <v>2610</v>
      </c>
      <c r="W402" t="str">
        <f t="shared" si="108"/>
        <v>914-</v>
      </c>
      <c r="X402" t="str">
        <f t="shared" si="109"/>
        <v>324</v>
      </c>
      <c r="Y402" t="str">
        <f t="shared" si="110"/>
        <v>-6344</v>
      </c>
      <c r="Z402" t="str">
        <f>SUBSTITUTE(V402,"-","|",2)</f>
        <v>914-324|6344</v>
      </c>
      <c r="AA402" t="str">
        <f>LEFT(V402,3)</f>
        <v>914</v>
      </c>
      <c r="AB402" t="str">
        <f>MID(V402,5,3)</f>
        <v>324</v>
      </c>
      <c r="AC402" t="str">
        <f>RIGHT(V402,4)</f>
        <v>6344</v>
      </c>
      <c r="AD402" s="3" t="s">
        <v>2611</v>
      </c>
      <c r="AE402" s="3" t="str">
        <f t="shared" si="111"/>
        <v>3624</v>
      </c>
    </row>
    <row r="403" spans="1:31">
      <c r="A403" t="s">
        <v>75</v>
      </c>
      <c r="B403" t="str">
        <f t="shared" si="97"/>
        <v>Joseph</v>
      </c>
      <c r="C403" t="s">
        <v>182</v>
      </c>
      <c r="D403" t="s">
        <v>2612</v>
      </c>
      <c r="E403" t="str">
        <f t="shared" si="98"/>
        <v>Atkinson</v>
      </c>
      <c r="F403" t="str">
        <f t="shared" si="99"/>
        <v>JOSEPHATKINSON</v>
      </c>
      <c r="G403" t="str">
        <f t="shared" si="100"/>
        <v>JOSEPHATKINSON</v>
      </c>
      <c r="H403" t="str">
        <f t="shared" si="101"/>
        <v>JOS ATKINSON</v>
      </c>
      <c r="I403" t="str">
        <f t="shared" si="102"/>
        <v>JOS.A</v>
      </c>
      <c r="J403" t="s">
        <v>42</v>
      </c>
      <c r="K403" t="s">
        <v>2613</v>
      </c>
      <c r="L403" t="s">
        <v>1443</v>
      </c>
      <c r="M403" t="s">
        <v>1444</v>
      </c>
      <c r="N403">
        <v>20004</v>
      </c>
      <c r="O403" t="str">
        <f t="shared" si="103"/>
        <v>20004</v>
      </c>
      <c r="P403" t="str">
        <f t="shared" si="96"/>
        <v>4723 Rhode Island Avenue, Washington, DC, 20004</v>
      </c>
      <c r="Q403" t="s">
        <v>2614</v>
      </c>
      <c r="R403" t="str">
        <f t="shared" si="104"/>
        <v>JosephCAtkinson</v>
      </c>
      <c r="S403" t="str">
        <f t="shared" si="105"/>
        <v>aol.com</v>
      </c>
      <c r="T403" t="str">
        <f t="shared" si="106"/>
        <v>aol</v>
      </c>
      <c r="U403" t="str">
        <f t="shared" si="107"/>
        <v>JosephCAtkinson</v>
      </c>
      <c r="V403" t="s">
        <v>2615</v>
      </c>
      <c r="W403" t="str">
        <f t="shared" si="108"/>
        <v>202-</v>
      </c>
      <c r="X403" t="str">
        <f t="shared" si="109"/>
        <v>420</v>
      </c>
      <c r="Y403" t="str">
        <f t="shared" si="110"/>
        <v>-6111</v>
      </c>
      <c r="Z403" t="str">
        <f>SUBSTITUTE(V403,"-","|",2)</f>
        <v>202-420|6111</v>
      </c>
      <c r="AA403" t="str">
        <f>LEFT(V403,3)</f>
        <v>202</v>
      </c>
      <c r="AB403" t="str">
        <f>MID(V403,5,3)</f>
        <v>420</v>
      </c>
      <c r="AC403" t="str">
        <f>RIGHT(V403,4)</f>
        <v>6111</v>
      </c>
      <c r="AD403" s="3" t="s">
        <v>2616</v>
      </c>
      <c r="AE403" s="3" t="str">
        <f t="shared" si="111"/>
        <v>839</v>
      </c>
    </row>
    <row r="404" spans="1:31">
      <c r="A404" t="s">
        <v>2617</v>
      </c>
      <c r="B404" t="str">
        <f t="shared" si="97"/>
        <v>Lindsey</v>
      </c>
      <c r="C404" t="s">
        <v>132</v>
      </c>
      <c r="D404" t="s">
        <v>76</v>
      </c>
      <c r="E404" t="str">
        <f t="shared" si="98"/>
        <v>Martinez</v>
      </c>
      <c r="F404" t="str">
        <f t="shared" si="99"/>
        <v>LINDSEYMARTINEZ</v>
      </c>
      <c r="G404" t="str">
        <f t="shared" si="100"/>
        <v>LINDSEYMARTINEZ</v>
      </c>
      <c r="H404" t="str">
        <f t="shared" si="101"/>
        <v>LIN MARTINEZ</v>
      </c>
      <c r="I404" t="str">
        <f t="shared" si="102"/>
        <v>LIN.M</v>
      </c>
      <c r="J404" t="s">
        <v>32</v>
      </c>
      <c r="K404" t="s">
        <v>2618</v>
      </c>
      <c r="L404" t="s">
        <v>308</v>
      </c>
      <c r="M404" t="s">
        <v>88</v>
      </c>
      <c r="N404">
        <v>76071</v>
      </c>
      <c r="O404" t="str">
        <f t="shared" si="103"/>
        <v>76071</v>
      </c>
      <c r="P404" t="str">
        <f t="shared" si="96"/>
        <v>3675 Jones Street, Newark, TX, 76071</v>
      </c>
      <c r="Q404" t="s">
        <v>2619</v>
      </c>
      <c r="R404" t="str">
        <f t="shared" si="104"/>
        <v>LindseyRMartinez</v>
      </c>
      <c r="S404" t="str">
        <f t="shared" si="105"/>
        <v>gmail.com</v>
      </c>
      <c r="T404" t="str">
        <f t="shared" si="106"/>
        <v>gmail</v>
      </c>
      <c r="U404" t="str">
        <f t="shared" si="107"/>
        <v>LindseyRMartinez</v>
      </c>
      <c r="V404" t="s">
        <v>2620</v>
      </c>
      <c r="W404" t="str">
        <f t="shared" si="108"/>
        <v>817-</v>
      </c>
      <c r="X404" t="str">
        <f t="shared" si="109"/>
        <v>489</v>
      </c>
      <c r="Y404" t="str">
        <f t="shared" si="110"/>
        <v>-0531</v>
      </c>
      <c r="Z404" t="str">
        <f>SUBSTITUTE(V404,"-","|",2)</f>
        <v>817-489|0531</v>
      </c>
      <c r="AA404" t="str">
        <f>LEFT(V404,3)</f>
        <v>817</v>
      </c>
      <c r="AB404" t="str">
        <f>MID(V404,5,3)</f>
        <v>489</v>
      </c>
      <c r="AC404" t="str">
        <f>RIGHT(V404,4)</f>
        <v>0531</v>
      </c>
      <c r="AD404" s="3" t="s">
        <v>2621</v>
      </c>
      <c r="AE404" s="3" t="str">
        <f t="shared" si="111"/>
        <v>8995</v>
      </c>
    </row>
    <row r="405" spans="1:31">
      <c r="A405" t="s">
        <v>2622</v>
      </c>
      <c r="B405" t="str">
        <f t="shared" si="97"/>
        <v>Tyler</v>
      </c>
      <c r="C405" t="s">
        <v>213</v>
      </c>
      <c r="D405" t="s">
        <v>2623</v>
      </c>
      <c r="E405" t="str">
        <f t="shared" si="98"/>
        <v>Dejesus</v>
      </c>
      <c r="F405" t="str">
        <f t="shared" si="99"/>
        <v>TYLERDEJESUS</v>
      </c>
      <c r="G405" t="str">
        <f t="shared" si="100"/>
        <v>TYLERDEJESUS</v>
      </c>
      <c r="H405" t="str">
        <f t="shared" si="101"/>
        <v>TYL DEJESUS</v>
      </c>
      <c r="I405" t="str">
        <f t="shared" si="102"/>
        <v>TYL.D</v>
      </c>
      <c r="J405" t="s">
        <v>42</v>
      </c>
      <c r="K405" t="s">
        <v>2624</v>
      </c>
      <c r="L405" t="s">
        <v>1540</v>
      </c>
      <c r="M405" t="s">
        <v>871</v>
      </c>
      <c r="N405">
        <v>98161</v>
      </c>
      <c r="O405" t="str">
        <f t="shared" si="103"/>
        <v>98161</v>
      </c>
      <c r="P405" t="str">
        <f t="shared" si="96"/>
        <v>4128 Boone Crockett Lane, Seattle, WA, 98161</v>
      </c>
      <c r="Q405" t="s">
        <v>2625</v>
      </c>
      <c r="R405" t="str">
        <f t="shared" si="104"/>
        <v>TylerADejesus</v>
      </c>
      <c r="S405" t="str">
        <f t="shared" si="105"/>
        <v>gmail.com</v>
      </c>
      <c r="T405" t="str">
        <f t="shared" si="106"/>
        <v>gmail</v>
      </c>
      <c r="U405" t="str">
        <f t="shared" si="107"/>
        <v>TylerADejesus</v>
      </c>
      <c r="V405" t="s">
        <v>2626</v>
      </c>
      <c r="W405" t="str">
        <f t="shared" si="108"/>
        <v>360-</v>
      </c>
      <c r="X405" t="str">
        <f t="shared" si="109"/>
        <v>481</v>
      </c>
      <c r="Y405" t="str">
        <f t="shared" si="110"/>
        <v>-3112</v>
      </c>
      <c r="Z405" t="str">
        <f>SUBSTITUTE(V405,"-","|",2)</f>
        <v>360-481|3112</v>
      </c>
      <c r="AA405" t="str">
        <f>LEFT(V405,3)</f>
        <v>360</v>
      </c>
      <c r="AB405" t="str">
        <f>MID(V405,5,3)</f>
        <v>481</v>
      </c>
      <c r="AC405" t="str">
        <f>RIGHT(V405,4)</f>
        <v>3112</v>
      </c>
      <c r="AD405" s="3" t="s">
        <v>2627</v>
      </c>
      <c r="AE405" s="3" t="str">
        <f t="shared" si="111"/>
        <v>7327</v>
      </c>
    </row>
    <row r="406" spans="1:31">
      <c r="A406" t="s">
        <v>2628</v>
      </c>
      <c r="B406" t="str">
        <f t="shared" si="97"/>
        <v>Melody</v>
      </c>
      <c r="C406" t="s">
        <v>58</v>
      </c>
      <c r="D406" t="s">
        <v>1109</v>
      </c>
      <c r="E406" t="str">
        <f t="shared" si="98"/>
        <v>Nelson</v>
      </c>
      <c r="F406" t="str">
        <f t="shared" si="99"/>
        <v>MELODYNELSON</v>
      </c>
      <c r="G406" t="str">
        <f t="shared" si="100"/>
        <v>MELODYNELSON</v>
      </c>
      <c r="H406" t="str">
        <f t="shared" si="101"/>
        <v>MEL NELSON</v>
      </c>
      <c r="I406" t="str">
        <f t="shared" si="102"/>
        <v>MEL.N</v>
      </c>
      <c r="J406" t="s">
        <v>32</v>
      </c>
      <c r="K406" t="s">
        <v>2629</v>
      </c>
      <c r="L406" t="s">
        <v>2630</v>
      </c>
      <c r="M406" t="s">
        <v>35</v>
      </c>
      <c r="N406">
        <v>62543</v>
      </c>
      <c r="O406" t="str">
        <f t="shared" si="103"/>
        <v>62543</v>
      </c>
      <c r="P406" t="str">
        <f t="shared" si="96"/>
        <v>757 Scenic Way, Latham, IL, 62543</v>
      </c>
      <c r="Q406" t="s">
        <v>2631</v>
      </c>
      <c r="R406" t="str">
        <f t="shared" si="104"/>
        <v>MelodyMNelson</v>
      </c>
      <c r="S406" t="str">
        <f t="shared" si="105"/>
        <v>hotmail.com</v>
      </c>
      <c r="T406" t="str">
        <f t="shared" si="106"/>
        <v>hotmail</v>
      </c>
      <c r="U406" t="str">
        <f t="shared" si="107"/>
        <v>MelodyMNelson</v>
      </c>
      <c r="V406" t="s">
        <v>2632</v>
      </c>
      <c r="W406" t="str">
        <f t="shared" si="108"/>
        <v>217-</v>
      </c>
      <c r="X406" t="str">
        <f t="shared" si="109"/>
        <v>674</v>
      </c>
      <c r="Y406" t="str">
        <f t="shared" si="110"/>
        <v>-4591</v>
      </c>
      <c r="Z406" t="str">
        <f>SUBSTITUTE(V406,"-","|",2)</f>
        <v>217-674|4591</v>
      </c>
      <c r="AA406" t="str">
        <f>LEFT(V406,3)</f>
        <v>217</v>
      </c>
      <c r="AB406" t="str">
        <f>MID(V406,5,3)</f>
        <v>674</v>
      </c>
      <c r="AC406" t="str">
        <f>RIGHT(V406,4)</f>
        <v>4591</v>
      </c>
      <c r="AD406" s="3" t="s">
        <v>2633</v>
      </c>
      <c r="AE406" s="3" t="str">
        <f t="shared" si="111"/>
        <v>8985</v>
      </c>
    </row>
    <row r="407" spans="1:31">
      <c r="A407" t="s">
        <v>296</v>
      </c>
      <c r="B407" t="str">
        <f t="shared" si="97"/>
        <v>Paula</v>
      </c>
      <c r="C407" t="s">
        <v>261</v>
      </c>
      <c r="D407" t="s">
        <v>2634</v>
      </c>
      <c r="E407" t="str">
        <f t="shared" si="98"/>
        <v>Madden</v>
      </c>
      <c r="F407" t="str">
        <f t="shared" si="99"/>
        <v>PAULAMADDEN</v>
      </c>
      <c r="G407" t="str">
        <f t="shared" si="100"/>
        <v>PAULAMADDEN</v>
      </c>
      <c r="H407" t="str">
        <f t="shared" si="101"/>
        <v>PAU MADDEN</v>
      </c>
      <c r="I407" t="str">
        <f t="shared" si="102"/>
        <v>PAU.M</v>
      </c>
      <c r="J407" t="s">
        <v>32</v>
      </c>
      <c r="K407" t="s">
        <v>2635</v>
      </c>
      <c r="L407" t="s">
        <v>232</v>
      </c>
      <c r="M407" t="s">
        <v>45</v>
      </c>
      <c r="N407">
        <v>90017</v>
      </c>
      <c r="O407" t="str">
        <f t="shared" si="103"/>
        <v>90017</v>
      </c>
      <c r="P407" t="str">
        <f t="shared" si="96"/>
        <v>4731 Murphy Court, Los Angeles, CA, 90017</v>
      </c>
      <c r="Q407" t="s">
        <v>2636</v>
      </c>
      <c r="R407" t="str">
        <f t="shared" si="104"/>
        <v>PaulaWMadden</v>
      </c>
      <c r="S407" t="str">
        <f t="shared" si="105"/>
        <v>gmail.com</v>
      </c>
      <c r="T407" t="str">
        <f t="shared" si="106"/>
        <v>gmail</v>
      </c>
      <c r="U407" t="str">
        <f t="shared" si="107"/>
        <v>PaulaWMadden</v>
      </c>
      <c r="V407" t="s">
        <v>2637</v>
      </c>
      <c r="W407" t="str">
        <f t="shared" si="108"/>
        <v>951-</v>
      </c>
      <c r="X407" t="str">
        <f t="shared" si="109"/>
        <v>801</v>
      </c>
      <c r="Y407" t="str">
        <f t="shared" si="110"/>
        <v>-7659</v>
      </c>
      <c r="Z407" t="str">
        <f>SUBSTITUTE(V407,"-","|",2)</f>
        <v>951-801|7659</v>
      </c>
      <c r="AA407" t="str">
        <f>LEFT(V407,3)</f>
        <v>951</v>
      </c>
      <c r="AB407" t="str">
        <f>MID(V407,5,3)</f>
        <v>801</v>
      </c>
      <c r="AC407" t="str">
        <f>RIGHT(V407,4)</f>
        <v>7659</v>
      </c>
      <c r="AD407" s="3" t="s">
        <v>2638</v>
      </c>
      <c r="AE407" s="3" t="str">
        <f t="shared" si="111"/>
        <v>856</v>
      </c>
    </row>
    <row r="408" spans="1:31">
      <c r="A408" t="s">
        <v>251</v>
      </c>
      <c r="B408" t="str">
        <f t="shared" si="97"/>
        <v>Robert</v>
      </c>
      <c r="C408" t="s">
        <v>67</v>
      </c>
      <c r="D408" t="s">
        <v>2639</v>
      </c>
      <c r="E408" t="str">
        <f t="shared" si="98"/>
        <v>Weber</v>
      </c>
      <c r="F408" t="str">
        <f t="shared" si="99"/>
        <v>ROBERTWEBER</v>
      </c>
      <c r="G408" t="str">
        <f t="shared" si="100"/>
        <v>ROBERTWEBER</v>
      </c>
      <c r="H408" t="str">
        <f t="shared" si="101"/>
        <v>ROB WEBER</v>
      </c>
      <c r="I408" t="str">
        <f t="shared" si="102"/>
        <v>ROB.W</v>
      </c>
      <c r="J408" t="s">
        <v>42</v>
      </c>
      <c r="K408" t="s">
        <v>2640</v>
      </c>
      <c r="L408" t="s">
        <v>2227</v>
      </c>
      <c r="M408" t="s">
        <v>104</v>
      </c>
      <c r="N408">
        <v>10573</v>
      </c>
      <c r="O408" t="str">
        <f t="shared" si="103"/>
        <v>10573</v>
      </c>
      <c r="P408" t="str">
        <f t="shared" si="96"/>
        <v>385 Ward Road, Port Chester, NY, 10573</v>
      </c>
      <c r="Q408" t="s">
        <v>2641</v>
      </c>
      <c r="R408" t="str">
        <f t="shared" si="104"/>
        <v>RobertDWeber</v>
      </c>
      <c r="S408" t="str">
        <f t="shared" si="105"/>
        <v>gmail.com</v>
      </c>
      <c r="T408" t="str">
        <f t="shared" si="106"/>
        <v>gmail</v>
      </c>
      <c r="U408" t="str">
        <f t="shared" si="107"/>
        <v>RobertDWeber</v>
      </c>
      <c r="V408" t="s">
        <v>2642</v>
      </c>
      <c r="W408" t="str">
        <f t="shared" si="108"/>
        <v>914-</v>
      </c>
      <c r="X408" t="str">
        <f t="shared" si="109"/>
        <v>937</v>
      </c>
      <c r="Y408" t="str">
        <f t="shared" si="110"/>
        <v>-4898</v>
      </c>
      <c r="Z408" t="str">
        <f>SUBSTITUTE(V408,"-","|",2)</f>
        <v>914-937|4898</v>
      </c>
      <c r="AA408" t="str">
        <f>LEFT(V408,3)</f>
        <v>914</v>
      </c>
      <c r="AB408" t="str">
        <f>MID(V408,5,3)</f>
        <v>937</v>
      </c>
      <c r="AC408" t="str">
        <f>RIGHT(V408,4)</f>
        <v>4898</v>
      </c>
      <c r="AD408" s="3" t="s">
        <v>2643</v>
      </c>
      <c r="AE408" s="3" t="str">
        <f t="shared" si="111"/>
        <v>923</v>
      </c>
    </row>
    <row r="409" spans="1:31">
      <c r="A409" t="s">
        <v>157</v>
      </c>
      <c r="B409" t="str">
        <f t="shared" si="97"/>
        <v>Mark</v>
      </c>
      <c r="C409" t="s">
        <v>343</v>
      </c>
      <c r="D409" t="s">
        <v>2644</v>
      </c>
      <c r="E409" t="str">
        <f t="shared" si="98"/>
        <v>Monroe</v>
      </c>
      <c r="F409" t="str">
        <f t="shared" si="99"/>
        <v>MARKMONROE</v>
      </c>
      <c r="G409" t="str">
        <f t="shared" si="100"/>
        <v>MARKMONROE</v>
      </c>
      <c r="H409" t="str">
        <f t="shared" si="101"/>
        <v>MAR MONROE</v>
      </c>
      <c r="I409" t="str">
        <f t="shared" si="102"/>
        <v>MAR.M</v>
      </c>
      <c r="J409" t="s">
        <v>42</v>
      </c>
      <c r="K409" t="s">
        <v>2645</v>
      </c>
      <c r="L409" t="s">
        <v>440</v>
      </c>
      <c r="M409" t="s">
        <v>441</v>
      </c>
      <c r="N409">
        <v>80202</v>
      </c>
      <c r="O409" t="str">
        <f t="shared" si="103"/>
        <v>80202</v>
      </c>
      <c r="P409" t="str">
        <f t="shared" si="96"/>
        <v>3535 McKinley Avenue, Denver, CO, 80202</v>
      </c>
      <c r="Q409" t="s">
        <v>2646</v>
      </c>
      <c r="R409" t="str">
        <f t="shared" si="104"/>
        <v>MarkLMonroe</v>
      </c>
      <c r="S409" t="str">
        <f t="shared" si="105"/>
        <v>gmail.com</v>
      </c>
      <c r="T409" t="str">
        <f t="shared" si="106"/>
        <v>gmail</v>
      </c>
      <c r="U409" t="str">
        <f t="shared" si="107"/>
        <v>MarkLMonroe</v>
      </c>
      <c r="V409" t="s">
        <v>2647</v>
      </c>
      <c r="W409" t="str">
        <f t="shared" si="108"/>
        <v>303-</v>
      </c>
      <c r="X409" t="str">
        <f t="shared" si="109"/>
        <v>848</v>
      </c>
      <c r="Y409" t="str">
        <f t="shared" si="110"/>
        <v>-9860</v>
      </c>
      <c r="Z409" t="str">
        <f>SUBSTITUTE(V409,"-","|",2)</f>
        <v>303-848|9860</v>
      </c>
      <c r="AA409" t="str">
        <f>LEFT(V409,3)</f>
        <v>303</v>
      </c>
      <c r="AB409" t="str">
        <f>MID(V409,5,3)</f>
        <v>848</v>
      </c>
      <c r="AC409" t="str">
        <f>RIGHT(V409,4)</f>
        <v>9860</v>
      </c>
      <c r="AD409" s="3" t="s">
        <v>2648</v>
      </c>
      <c r="AE409" s="3" t="str">
        <f t="shared" si="111"/>
        <v>271</v>
      </c>
    </row>
    <row r="410" spans="1:31">
      <c r="A410" t="s">
        <v>2419</v>
      </c>
      <c r="B410" t="str">
        <f t="shared" si="97"/>
        <v>Rose</v>
      </c>
      <c r="C410" t="s">
        <v>182</v>
      </c>
      <c r="D410" t="s">
        <v>2217</v>
      </c>
      <c r="E410" t="str">
        <f t="shared" si="98"/>
        <v>Glenn</v>
      </c>
      <c r="F410" t="str">
        <f t="shared" si="99"/>
        <v>ROSEGLENN</v>
      </c>
      <c r="G410" t="str">
        <f t="shared" si="100"/>
        <v>ROSEGLENN</v>
      </c>
      <c r="H410" t="str">
        <f t="shared" si="101"/>
        <v>ROS GLENN</v>
      </c>
      <c r="I410" t="str">
        <f t="shared" si="102"/>
        <v>ROS.G</v>
      </c>
      <c r="J410" t="s">
        <v>32</v>
      </c>
      <c r="K410" t="s">
        <v>2649</v>
      </c>
      <c r="L410" t="s">
        <v>2650</v>
      </c>
      <c r="M410" t="s">
        <v>104</v>
      </c>
      <c r="N410">
        <v>13901</v>
      </c>
      <c r="O410" t="str">
        <f t="shared" si="103"/>
        <v>13901</v>
      </c>
      <c r="P410" t="str">
        <f t="shared" si="96"/>
        <v>3643 Hinkle Deegan Lake Road, Binghamton, NY, 13901</v>
      </c>
      <c r="Q410" t="s">
        <v>2651</v>
      </c>
      <c r="R410" t="str">
        <f t="shared" si="104"/>
        <v>RoseCGlenn</v>
      </c>
      <c r="S410" t="str">
        <f t="shared" si="105"/>
        <v>aol.com</v>
      </c>
      <c r="T410" t="str">
        <f t="shared" si="106"/>
        <v>aol</v>
      </c>
      <c r="U410" t="str">
        <f t="shared" si="107"/>
        <v>RoseCGlenn</v>
      </c>
      <c r="V410" t="s">
        <v>2652</v>
      </c>
      <c r="W410" t="str">
        <f t="shared" si="108"/>
        <v>607-</v>
      </c>
      <c r="X410" t="str">
        <f t="shared" si="109"/>
        <v>210</v>
      </c>
      <c r="Y410" t="str">
        <f t="shared" si="110"/>
        <v>-4364</v>
      </c>
      <c r="Z410" t="str">
        <f>SUBSTITUTE(V410,"-","|",2)</f>
        <v>607-210|4364</v>
      </c>
      <c r="AA410" t="str">
        <f>LEFT(V410,3)</f>
        <v>607</v>
      </c>
      <c r="AB410" t="str">
        <f>MID(V410,5,3)</f>
        <v>210</v>
      </c>
      <c r="AC410" t="str">
        <f>RIGHT(V410,4)</f>
        <v>4364</v>
      </c>
      <c r="AD410" s="3" t="s">
        <v>2653</v>
      </c>
      <c r="AE410" s="3" t="str">
        <f t="shared" si="111"/>
        <v>4358</v>
      </c>
    </row>
    <row r="411" spans="1:31">
      <c r="A411" t="s">
        <v>2654</v>
      </c>
      <c r="B411" t="str">
        <f t="shared" si="97"/>
        <v>Sidney</v>
      </c>
      <c r="C411" t="s">
        <v>132</v>
      </c>
      <c r="D411" t="s">
        <v>431</v>
      </c>
      <c r="E411" t="str">
        <f t="shared" si="98"/>
        <v>Williams</v>
      </c>
      <c r="F411" t="str">
        <f t="shared" si="99"/>
        <v>SIDNEYWILLIAMS</v>
      </c>
      <c r="G411" t="str">
        <f t="shared" si="100"/>
        <v>SIDNEYWILLIAMS</v>
      </c>
      <c r="H411" t="str">
        <f t="shared" si="101"/>
        <v>SID WILLIAMS</v>
      </c>
      <c r="I411" t="str">
        <f t="shared" si="102"/>
        <v>SID.W</v>
      </c>
      <c r="J411" t="s">
        <v>42</v>
      </c>
      <c r="K411" t="s">
        <v>2655</v>
      </c>
      <c r="L411" t="s">
        <v>2656</v>
      </c>
      <c r="M411" t="s">
        <v>530</v>
      </c>
      <c r="N411">
        <v>39201</v>
      </c>
      <c r="O411" t="str">
        <f t="shared" si="103"/>
        <v>39201</v>
      </c>
      <c r="P411" t="str">
        <f t="shared" si="96"/>
        <v>4292 Tanglewood Road, Jackson, MS, 39201</v>
      </c>
      <c r="Q411" t="s">
        <v>2657</v>
      </c>
      <c r="R411" t="str">
        <f t="shared" si="104"/>
        <v>SidneyRWilliams</v>
      </c>
      <c r="S411" t="str">
        <f t="shared" si="105"/>
        <v>gmail.com</v>
      </c>
      <c r="T411" t="str">
        <f t="shared" si="106"/>
        <v>gmail</v>
      </c>
      <c r="U411" t="str">
        <f t="shared" si="107"/>
        <v>SidneyRWilliams</v>
      </c>
      <c r="V411" t="s">
        <v>2658</v>
      </c>
      <c r="W411" t="str">
        <f t="shared" si="108"/>
        <v>662-</v>
      </c>
      <c r="X411" t="str">
        <f t="shared" si="109"/>
        <v>990</v>
      </c>
      <c r="Y411" t="str">
        <f t="shared" si="110"/>
        <v>-9028</v>
      </c>
      <c r="Z411" t="str">
        <f>SUBSTITUTE(V411,"-","|",2)</f>
        <v>662-990|9028</v>
      </c>
      <c r="AA411" t="str">
        <f>LEFT(V411,3)</f>
        <v>662</v>
      </c>
      <c r="AB411" t="str">
        <f>MID(V411,5,3)</f>
        <v>990</v>
      </c>
      <c r="AC411" t="str">
        <f>RIGHT(V411,4)</f>
        <v>9028</v>
      </c>
      <c r="AD411" s="3" t="s">
        <v>2659</v>
      </c>
      <c r="AE411" s="3" t="str">
        <f t="shared" si="111"/>
        <v>304</v>
      </c>
    </row>
    <row r="412" spans="1:31">
      <c r="A412" t="s">
        <v>1147</v>
      </c>
      <c r="B412" t="str">
        <f t="shared" si="97"/>
        <v>Scott</v>
      </c>
      <c r="C412" t="s">
        <v>30</v>
      </c>
      <c r="D412" t="s">
        <v>2660</v>
      </c>
      <c r="E412" t="str">
        <f t="shared" si="98"/>
        <v>Lohr</v>
      </c>
      <c r="F412" t="str">
        <f t="shared" si="99"/>
        <v>SCOTTLOHR</v>
      </c>
      <c r="G412" t="str">
        <f t="shared" si="100"/>
        <v>SCOTTLOHR</v>
      </c>
      <c r="H412" t="str">
        <f t="shared" si="101"/>
        <v>SCO LOHR</v>
      </c>
      <c r="I412" t="str">
        <f t="shared" si="102"/>
        <v>SCO.L</v>
      </c>
      <c r="J412" t="s">
        <v>42</v>
      </c>
      <c r="K412" t="s">
        <v>2661</v>
      </c>
      <c r="L412" t="s">
        <v>2662</v>
      </c>
      <c r="M412" t="s">
        <v>35</v>
      </c>
      <c r="N412">
        <v>61465</v>
      </c>
      <c r="O412" t="str">
        <f t="shared" si="103"/>
        <v>61465</v>
      </c>
      <c r="P412" t="str">
        <f t="shared" si="96"/>
        <v>3016 Garfield Road, New Windsor, IL, 61465</v>
      </c>
      <c r="Q412" t="s">
        <v>2663</v>
      </c>
      <c r="R412" t="str">
        <f t="shared" si="104"/>
        <v>ScottJLohr</v>
      </c>
      <c r="S412" t="str">
        <f t="shared" si="105"/>
        <v>hotmail.com</v>
      </c>
      <c r="T412" t="str">
        <f t="shared" si="106"/>
        <v>hotmail</v>
      </c>
      <c r="U412" t="str">
        <f t="shared" si="107"/>
        <v>ScottJLohr</v>
      </c>
      <c r="V412" t="s">
        <v>2664</v>
      </c>
      <c r="W412" t="str">
        <f t="shared" si="108"/>
        <v>309-</v>
      </c>
      <c r="X412" t="str">
        <f t="shared" si="109"/>
        <v>667</v>
      </c>
      <c r="Y412" t="str">
        <f t="shared" si="110"/>
        <v>-9596</v>
      </c>
      <c r="Z412" t="str">
        <f>SUBSTITUTE(V412,"-","|",2)</f>
        <v>309-667|9596</v>
      </c>
      <c r="AA412" t="str">
        <f>LEFT(V412,3)</f>
        <v>309</v>
      </c>
      <c r="AB412" t="str">
        <f>MID(V412,5,3)</f>
        <v>667</v>
      </c>
      <c r="AC412" t="str">
        <f>RIGHT(V412,4)</f>
        <v>9596</v>
      </c>
      <c r="AD412" s="3" t="s">
        <v>2665</v>
      </c>
      <c r="AE412" s="3" t="str">
        <f t="shared" si="111"/>
        <v>588</v>
      </c>
    </row>
    <row r="413" spans="1:31">
      <c r="A413" t="s">
        <v>2666</v>
      </c>
      <c r="B413" t="str">
        <f t="shared" si="97"/>
        <v>Latonya</v>
      </c>
      <c r="C413" t="s">
        <v>166</v>
      </c>
      <c r="D413" t="s">
        <v>2667</v>
      </c>
      <c r="E413" t="str">
        <f t="shared" si="98"/>
        <v>Taggart</v>
      </c>
      <c r="F413" t="str">
        <f t="shared" si="99"/>
        <v>LATONYATAGGART</v>
      </c>
      <c r="G413" t="str">
        <f t="shared" si="100"/>
        <v>LATONYATAGGART</v>
      </c>
      <c r="H413" t="str">
        <f t="shared" si="101"/>
        <v>LAT TAGGART</v>
      </c>
      <c r="I413" t="str">
        <f t="shared" si="102"/>
        <v>LAT.T</v>
      </c>
      <c r="J413" t="s">
        <v>32</v>
      </c>
      <c r="K413" t="s">
        <v>2668</v>
      </c>
      <c r="L413" t="s">
        <v>2669</v>
      </c>
      <c r="M413" t="s">
        <v>559</v>
      </c>
      <c r="N413">
        <v>52552</v>
      </c>
      <c r="O413" t="str">
        <f t="shared" si="103"/>
        <v>52552</v>
      </c>
      <c r="P413" t="str">
        <f t="shared" si="96"/>
        <v>3904 Park Boulevard, Drakesville, IA, 52552</v>
      </c>
      <c r="Q413" t="s">
        <v>2670</v>
      </c>
      <c r="R413" t="str">
        <f t="shared" si="104"/>
        <v>LatonyaBTaggart</v>
      </c>
      <c r="S413" t="str">
        <f t="shared" si="105"/>
        <v>aol.com</v>
      </c>
      <c r="T413" t="str">
        <f t="shared" si="106"/>
        <v>aol</v>
      </c>
      <c r="U413" t="str">
        <f t="shared" si="107"/>
        <v>LatonyaBTaggart</v>
      </c>
      <c r="V413" t="s">
        <v>2671</v>
      </c>
      <c r="W413" t="str">
        <f t="shared" si="108"/>
        <v>641-</v>
      </c>
      <c r="X413" t="str">
        <f t="shared" si="109"/>
        <v>722</v>
      </c>
      <c r="Y413" t="str">
        <f t="shared" si="110"/>
        <v>-2778</v>
      </c>
      <c r="Z413" t="str">
        <f>SUBSTITUTE(V413,"-","|",2)</f>
        <v>641-722|2778</v>
      </c>
      <c r="AA413" t="str">
        <f>LEFT(V413,3)</f>
        <v>641</v>
      </c>
      <c r="AB413" t="str">
        <f>MID(V413,5,3)</f>
        <v>722</v>
      </c>
      <c r="AC413" t="str">
        <f>RIGHT(V413,4)</f>
        <v>2778</v>
      </c>
      <c r="AD413" s="3" t="s">
        <v>2672</v>
      </c>
      <c r="AE413" s="3" t="str">
        <f t="shared" si="111"/>
        <v>2018</v>
      </c>
    </row>
    <row r="414" spans="1:31">
      <c r="A414" t="s">
        <v>654</v>
      </c>
      <c r="B414" t="str">
        <f t="shared" si="97"/>
        <v>Michael</v>
      </c>
      <c r="C414" t="s">
        <v>30</v>
      </c>
      <c r="D414" t="s">
        <v>2673</v>
      </c>
      <c r="E414" t="str">
        <f t="shared" si="98"/>
        <v>Wendling</v>
      </c>
      <c r="F414" t="str">
        <f t="shared" si="99"/>
        <v>MICHAELWENDLING</v>
      </c>
      <c r="G414" t="str">
        <f t="shared" si="100"/>
        <v>MICHAELWENDLING</v>
      </c>
      <c r="H414" t="str">
        <f t="shared" si="101"/>
        <v>MIC WENDLING</v>
      </c>
      <c r="I414" t="str">
        <f t="shared" si="102"/>
        <v>MIC.W</v>
      </c>
      <c r="J414" t="s">
        <v>42</v>
      </c>
      <c r="K414" t="s">
        <v>2674</v>
      </c>
      <c r="L414" t="s">
        <v>2675</v>
      </c>
      <c r="M414" t="s">
        <v>88</v>
      </c>
      <c r="N414">
        <v>79070</v>
      </c>
      <c r="O414" t="str">
        <f t="shared" si="103"/>
        <v>79070</v>
      </c>
      <c r="P414" t="str">
        <f t="shared" si="96"/>
        <v>2626 Charmaine Lane, Perryton, TX, 79070</v>
      </c>
      <c r="Q414" t="s">
        <v>2676</v>
      </c>
      <c r="R414" t="str">
        <f t="shared" si="104"/>
        <v>MichaelJWendling</v>
      </c>
      <c r="S414" t="str">
        <f t="shared" si="105"/>
        <v>aol.com</v>
      </c>
      <c r="T414" t="str">
        <f t="shared" si="106"/>
        <v>aol</v>
      </c>
      <c r="U414" t="str">
        <f t="shared" si="107"/>
        <v>MichaelJWendling</v>
      </c>
      <c r="V414" t="s">
        <v>2677</v>
      </c>
      <c r="W414" t="str">
        <f t="shared" si="108"/>
        <v>806-</v>
      </c>
      <c r="X414" t="str">
        <f t="shared" si="109"/>
        <v>434</v>
      </c>
      <c r="Y414" t="str">
        <f t="shared" si="110"/>
        <v>-1502</v>
      </c>
      <c r="Z414" t="str">
        <f>SUBSTITUTE(V414,"-","|",2)</f>
        <v>806-434|1502</v>
      </c>
      <c r="AA414" t="str">
        <f>LEFT(V414,3)</f>
        <v>806</v>
      </c>
      <c r="AB414" t="str">
        <f>MID(V414,5,3)</f>
        <v>434</v>
      </c>
      <c r="AC414" t="str">
        <f>RIGHT(V414,4)</f>
        <v>1502</v>
      </c>
      <c r="AD414" s="3" t="s">
        <v>2678</v>
      </c>
      <c r="AE414" s="3" t="str">
        <f t="shared" si="111"/>
        <v>809</v>
      </c>
    </row>
    <row r="415" spans="1:31">
      <c r="A415" t="s">
        <v>221</v>
      </c>
      <c r="B415" t="str">
        <f t="shared" si="97"/>
        <v>Daniel</v>
      </c>
      <c r="C415" t="s">
        <v>58</v>
      </c>
      <c r="D415" t="s">
        <v>2679</v>
      </c>
      <c r="E415" t="str">
        <f t="shared" si="98"/>
        <v>Brister</v>
      </c>
      <c r="F415" t="str">
        <f t="shared" si="99"/>
        <v>DANIELBRISTER</v>
      </c>
      <c r="G415" t="str">
        <f t="shared" si="100"/>
        <v>DANIELBRISTER</v>
      </c>
      <c r="H415" t="str">
        <f t="shared" si="101"/>
        <v>DAN BRISTER</v>
      </c>
      <c r="I415" t="str">
        <f t="shared" si="102"/>
        <v>DAN.B</v>
      </c>
      <c r="J415" t="s">
        <v>42</v>
      </c>
      <c r="K415" t="s">
        <v>2680</v>
      </c>
      <c r="L415" t="s">
        <v>2681</v>
      </c>
      <c r="M415" t="s">
        <v>1444</v>
      </c>
      <c r="N415">
        <v>19034</v>
      </c>
      <c r="O415" t="str">
        <f t="shared" si="103"/>
        <v>19034</v>
      </c>
      <c r="P415" t="str">
        <f t="shared" si="96"/>
        <v>232 Hickory Lane, Fort Washington, DC, 19034</v>
      </c>
      <c r="Q415" t="s">
        <v>2682</v>
      </c>
      <c r="R415" t="str">
        <f t="shared" si="104"/>
        <v>DanielMBrister</v>
      </c>
      <c r="S415" t="str">
        <f t="shared" si="105"/>
        <v>hotmail.com</v>
      </c>
      <c r="T415" t="str">
        <f t="shared" si="106"/>
        <v>hotmail</v>
      </c>
      <c r="U415" t="str">
        <f t="shared" si="107"/>
        <v>DanielMBrister</v>
      </c>
      <c r="V415" t="s">
        <v>2683</v>
      </c>
      <c r="W415" t="str">
        <f t="shared" si="108"/>
        <v>202-</v>
      </c>
      <c r="X415" t="str">
        <f t="shared" si="109"/>
        <v>470</v>
      </c>
      <c r="Y415" t="str">
        <f t="shared" si="110"/>
        <v>-8024</v>
      </c>
      <c r="Z415" t="str">
        <f>SUBSTITUTE(V415,"-","|",2)</f>
        <v>202-470|8024</v>
      </c>
      <c r="AA415" t="str">
        <f>LEFT(V415,3)</f>
        <v>202</v>
      </c>
      <c r="AB415" t="str">
        <f>MID(V415,5,3)</f>
        <v>470</v>
      </c>
      <c r="AC415" t="str">
        <f>RIGHT(V415,4)</f>
        <v>8024</v>
      </c>
      <c r="AD415" s="3" t="s">
        <v>2684</v>
      </c>
      <c r="AE415" s="3" t="str">
        <f t="shared" si="111"/>
        <v>266</v>
      </c>
    </row>
    <row r="416" spans="1:31">
      <c r="A416" t="s">
        <v>654</v>
      </c>
      <c r="B416" t="str">
        <f t="shared" si="97"/>
        <v>Michael</v>
      </c>
      <c r="C416" t="s">
        <v>781</v>
      </c>
      <c r="D416" t="s">
        <v>2685</v>
      </c>
      <c r="E416" t="str">
        <f t="shared" si="98"/>
        <v>Horning</v>
      </c>
      <c r="F416" t="str">
        <f t="shared" si="99"/>
        <v>MICHAELHORNING</v>
      </c>
      <c r="G416" t="str">
        <f t="shared" si="100"/>
        <v>MICHAELHORNING</v>
      </c>
      <c r="H416" t="str">
        <f t="shared" si="101"/>
        <v>MIC HORNING</v>
      </c>
      <c r="I416" t="str">
        <f t="shared" si="102"/>
        <v>MIC.H</v>
      </c>
      <c r="J416" t="s">
        <v>42</v>
      </c>
      <c r="K416" t="s">
        <v>2686</v>
      </c>
      <c r="L416" t="s">
        <v>2687</v>
      </c>
      <c r="M416" t="s">
        <v>413</v>
      </c>
      <c r="N416">
        <v>21076</v>
      </c>
      <c r="O416" t="str">
        <f t="shared" si="103"/>
        <v>21076</v>
      </c>
      <c r="P416" t="str">
        <f t="shared" si="96"/>
        <v>1086 Blue Spruce Lane, Hanover, MD, 21076</v>
      </c>
      <c r="Q416" t="s">
        <v>2688</v>
      </c>
      <c r="R416" t="str">
        <f t="shared" si="104"/>
        <v>MichaelNHorning</v>
      </c>
      <c r="S416" t="str">
        <f t="shared" si="105"/>
        <v>hotmail.com</v>
      </c>
      <c r="T416" t="str">
        <f t="shared" si="106"/>
        <v>hotmail</v>
      </c>
      <c r="U416" t="str">
        <f t="shared" si="107"/>
        <v>MichaelNHorning</v>
      </c>
      <c r="V416" t="s">
        <v>2689</v>
      </c>
      <c r="W416" t="str">
        <f t="shared" si="108"/>
        <v>410-</v>
      </c>
      <c r="X416" t="str">
        <f t="shared" si="109"/>
        <v>302</v>
      </c>
      <c r="Y416" t="str">
        <f t="shared" si="110"/>
        <v>-4255</v>
      </c>
      <c r="Z416" t="str">
        <f>SUBSTITUTE(V416,"-","|",2)</f>
        <v>410-302|4255</v>
      </c>
      <c r="AA416" t="str">
        <f>LEFT(V416,3)</f>
        <v>410</v>
      </c>
      <c r="AB416" t="str">
        <f>MID(V416,5,3)</f>
        <v>302</v>
      </c>
      <c r="AC416" t="str">
        <f>RIGHT(V416,4)</f>
        <v>4255</v>
      </c>
      <c r="AD416" s="3" t="s">
        <v>2690</v>
      </c>
      <c r="AE416" s="3" t="str">
        <f t="shared" si="111"/>
        <v>143</v>
      </c>
    </row>
    <row r="417" spans="1:31">
      <c r="A417" t="s">
        <v>2691</v>
      </c>
      <c r="B417" t="str">
        <f t="shared" si="97"/>
        <v>Edith</v>
      </c>
      <c r="C417" t="s">
        <v>30</v>
      </c>
      <c r="D417" t="s">
        <v>2692</v>
      </c>
      <c r="E417" t="str">
        <f t="shared" si="98"/>
        <v>Reed</v>
      </c>
      <c r="F417" t="str">
        <f t="shared" si="99"/>
        <v>EDITHREED</v>
      </c>
      <c r="G417" t="str">
        <f t="shared" si="100"/>
        <v>EDITHREED</v>
      </c>
      <c r="H417" t="str">
        <f t="shared" si="101"/>
        <v>EDI REED</v>
      </c>
      <c r="I417" t="str">
        <f t="shared" si="102"/>
        <v>EDI.R</v>
      </c>
      <c r="J417" t="s">
        <v>32</v>
      </c>
      <c r="K417" t="s">
        <v>2693</v>
      </c>
      <c r="L417" t="s">
        <v>127</v>
      </c>
      <c r="M417" t="s">
        <v>88</v>
      </c>
      <c r="N417">
        <v>75201</v>
      </c>
      <c r="O417" t="str">
        <f t="shared" si="103"/>
        <v>75201</v>
      </c>
      <c r="P417" t="str">
        <f t="shared" si="96"/>
        <v>841 Romines Mill Road, Dallas, TX, 75201</v>
      </c>
      <c r="Q417" t="s">
        <v>2694</v>
      </c>
      <c r="R417" t="str">
        <f t="shared" si="104"/>
        <v>EdithJReed</v>
      </c>
      <c r="S417" t="str">
        <f t="shared" si="105"/>
        <v>hotmail.com</v>
      </c>
      <c r="T417" t="str">
        <f t="shared" si="106"/>
        <v>hotmail</v>
      </c>
      <c r="U417" t="str">
        <f t="shared" si="107"/>
        <v>EdithJReed</v>
      </c>
      <c r="V417" t="s">
        <v>2695</v>
      </c>
      <c r="W417" t="str">
        <f t="shared" si="108"/>
        <v>214-</v>
      </c>
      <c r="X417" t="str">
        <f t="shared" si="109"/>
        <v>617</v>
      </c>
      <c r="Y417" t="str">
        <f t="shared" si="110"/>
        <v>-9083</v>
      </c>
      <c r="Z417" t="str">
        <f>SUBSTITUTE(V417,"-","|",2)</f>
        <v>214-617|9083</v>
      </c>
      <c r="AA417" t="str">
        <f>LEFT(V417,3)</f>
        <v>214</v>
      </c>
      <c r="AB417" t="str">
        <f>MID(V417,5,3)</f>
        <v>617</v>
      </c>
      <c r="AC417" t="str">
        <f>RIGHT(V417,4)</f>
        <v>9083</v>
      </c>
      <c r="AD417" s="3" t="s">
        <v>2696</v>
      </c>
      <c r="AE417" s="3" t="str">
        <f t="shared" si="111"/>
        <v>3018</v>
      </c>
    </row>
    <row r="418" spans="1:31">
      <c r="A418" t="s">
        <v>430</v>
      </c>
      <c r="B418" t="str">
        <f t="shared" si="97"/>
        <v>Victor</v>
      </c>
      <c r="C418" t="s">
        <v>213</v>
      </c>
      <c r="D418" t="s">
        <v>535</v>
      </c>
      <c r="E418" t="str">
        <f t="shared" si="98"/>
        <v>Johnson</v>
      </c>
      <c r="F418" t="str">
        <f t="shared" si="99"/>
        <v>VICTORJOHNSON</v>
      </c>
      <c r="G418" t="str">
        <f t="shared" si="100"/>
        <v>VICTORJOHNSON</v>
      </c>
      <c r="H418" t="str">
        <f t="shared" si="101"/>
        <v>VIC JOHNSON</v>
      </c>
      <c r="I418" t="str">
        <f t="shared" si="102"/>
        <v>VIC.J</v>
      </c>
      <c r="J418" t="s">
        <v>42</v>
      </c>
      <c r="K418" t="s">
        <v>2697</v>
      </c>
      <c r="L418" t="s">
        <v>78</v>
      </c>
      <c r="M418" t="s">
        <v>79</v>
      </c>
      <c r="N418">
        <v>97205</v>
      </c>
      <c r="O418" t="str">
        <f t="shared" si="103"/>
        <v>97205</v>
      </c>
      <c r="P418" t="str">
        <f t="shared" si="96"/>
        <v>4515 Illinois Avenue, Portland, OR, 97205</v>
      </c>
      <c r="Q418" t="s">
        <v>2698</v>
      </c>
      <c r="R418" t="str">
        <f t="shared" si="104"/>
        <v>VictorAJohnson</v>
      </c>
      <c r="S418" t="str">
        <f t="shared" si="105"/>
        <v>hotmail.com</v>
      </c>
      <c r="T418" t="str">
        <f t="shared" si="106"/>
        <v>hotmail</v>
      </c>
      <c r="U418" t="str">
        <f t="shared" si="107"/>
        <v>VictorAJohnson</v>
      </c>
      <c r="V418" t="s">
        <v>2699</v>
      </c>
      <c r="W418" t="str">
        <f t="shared" si="108"/>
        <v>503-</v>
      </c>
      <c r="X418" t="str">
        <f t="shared" si="109"/>
        <v>713</v>
      </c>
      <c r="Y418" t="str">
        <f t="shared" si="110"/>
        <v>-0992</v>
      </c>
      <c r="Z418" t="str">
        <f>SUBSTITUTE(V418,"-","|",2)</f>
        <v>503-713|0992</v>
      </c>
      <c r="AA418" t="str">
        <f>LEFT(V418,3)</f>
        <v>503</v>
      </c>
      <c r="AB418" t="str">
        <f>MID(V418,5,3)</f>
        <v>713</v>
      </c>
      <c r="AC418" t="str">
        <f>RIGHT(V418,4)</f>
        <v>0992</v>
      </c>
      <c r="AD418" s="3" t="s">
        <v>2700</v>
      </c>
      <c r="AE418" s="3" t="str">
        <f t="shared" si="111"/>
        <v>990</v>
      </c>
    </row>
    <row r="419" spans="1:31">
      <c r="A419" t="s">
        <v>2701</v>
      </c>
      <c r="B419" t="str">
        <f t="shared" si="97"/>
        <v>Lydia</v>
      </c>
      <c r="C419" t="s">
        <v>116</v>
      </c>
      <c r="D419" t="s">
        <v>2702</v>
      </c>
      <c r="E419" t="str">
        <f t="shared" si="98"/>
        <v>Amoroso</v>
      </c>
      <c r="F419" t="str">
        <f t="shared" si="99"/>
        <v>LYDIAAMOROSO</v>
      </c>
      <c r="G419" t="str">
        <f t="shared" si="100"/>
        <v>LYDIAAMOROSO</v>
      </c>
      <c r="H419" t="str">
        <f t="shared" si="101"/>
        <v>LYD AMOROSO</v>
      </c>
      <c r="I419" t="str">
        <f t="shared" si="102"/>
        <v>LYD.A</v>
      </c>
      <c r="J419" t="s">
        <v>32</v>
      </c>
      <c r="K419" t="s">
        <v>2703</v>
      </c>
      <c r="L419" t="s">
        <v>61</v>
      </c>
      <c r="M419" t="s">
        <v>62</v>
      </c>
      <c r="N419">
        <v>22448</v>
      </c>
      <c r="O419" t="str">
        <f t="shared" si="103"/>
        <v>22448</v>
      </c>
      <c r="P419" t="str">
        <f t="shared" si="96"/>
        <v>3013 White Pine Lane, Dahlgren, VA, 22448</v>
      </c>
      <c r="Q419" t="s">
        <v>2704</v>
      </c>
      <c r="R419" t="str">
        <f t="shared" si="104"/>
        <v>LydiaHAmoroso</v>
      </c>
      <c r="S419" t="str">
        <f t="shared" si="105"/>
        <v>gmail.com</v>
      </c>
      <c r="T419" t="str">
        <f t="shared" si="106"/>
        <v>gmail</v>
      </c>
      <c r="U419" t="str">
        <f t="shared" si="107"/>
        <v>LydiaHAmoroso</v>
      </c>
      <c r="V419" t="s">
        <v>2705</v>
      </c>
      <c r="W419" t="str">
        <f t="shared" si="108"/>
        <v>540-</v>
      </c>
      <c r="X419" t="str">
        <f t="shared" si="109"/>
        <v>653</v>
      </c>
      <c r="Y419" t="str">
        <f t="shared" si="110"/>
        <v>-0178</v>
      </c>
      <c r="Z419" t="str">
        <f>SUBSTITUTE(V419,"-","|",2)</f>
        <v>540-653|0178</v>
      </c>
      <c r="AA419" t="str">
        <f>LEFT(V419,3)</f>
        <v>540</v>
      </c>
      <c r="AB419" t="str">
        <f>MID(V419,5,3)</f>
        <v>653</v>
      </c>
      <c r="AC419" t="str">
        <f>RIGHT(V419,4)</f>
        <v>0178</v>
      </c>
      <c r="AD419" s="3" t="s">
        <v>2706</v>
      </c>
      <c r="AE419" s="3" t="str">
        <f t="shared" si="111"/>
        <v>7118</v>
      </c>
    </row>
    <row r="420" spans="1:31">
      <c r="A420" t="s">
        <v>2707</v>
      </c>
      <c r="B420" t="str">
        <f t="shared" si="97"/>
        <v>Ashley</v>
      </c>
      <c r="C420" t="s">
        <v>67</v>
      </c>
      <c r="D420" t="s">
        <v>535</v>
      </c>
      <c r="E420" t="str">
        <f t="shared" si="98"/>
        <v>Johnson</v>
      </c>
      <c r="F420" t="str">
        <f t="shared" si="99"/>
        <v>ASHLEYJOHNSON</v>
      </c>
      <c r="G420" t="str">
        <f t="shared" si="100"/>
        <v>ASHLEYJOHNSON</v>
      </c>
      <c r="H420" t="str">
        <f t="shared" si="101"/>
        <v>ASH JOHNSON</v>
      </c>
      <c r="I420" t="str">
        <f t="shared" si="102"/>
        <v>ASH.J</v>
      </c>
      <c r="J420" t="s">
        <v>32</v>
      </c>
      <c r="K420" t="s">
        <v>2708</v>
      </c>
      <c r="L420" t="s">
        <v>292</v>
      </c>
      <c r="M420" t="s">
        <v>265</v>
      </c>
      <c r="N420">
        <v>2110</v>
      </c>
      <c r="O420" t="str">
        <f t="shared" si="103"/>
        <v>02110</v>
      </c>
      <c r="P420" t="str">
        <f t="shared" si="96"/>
        <v>2835 Aspen Court, Boston, MA, 2110</v>
      </c>
      <c r="Q420" t="s">
        <v>2709</v>
      </c>
      <c r="R420" t="str">
        <f t="shared" si="104"/>
        <v>AshleyDJohnson</v>
      </c>
      <c r="S420" t="str">
        <f t="shared" si="105"/>
        <v>hotmail.com</v>
      </c>
      <c r="T420" t="str">
        <f t="shared" si="106"/>
        <v>hotmail</v>
      </c>
      <c r="U420" t="str">
        <f t="shared" si="107"/>
        <v>AshleyDJohnson</v>
      </c>
      <c r="V420" t="s">
        <v>2710</v>
      </c>
      <c r="W420" t="str">
        <f t="shared" si="108"/>
        <v>617-</v>
      </c>
      <c r="X420" t="str">
        <f t="shared" si="109"/>
        <v>392</v>
      </c>
      <c r="Y420" t="str">
        <f t="shared" si="110"/>
        <v>-2943</v>
      </c>
      <c r="Z420" t="str">
        <f>SUBSTITUTE(V420,"-","|",2)</f>
        <v>617-392|2943</v>
      </c>
      <c r="AA420" t="str">
        <f>LEFT(V420,3)</f>
        <v>617</v>
      </c>
      <c r="AB420" t="str">
        <f>MID(V420,5,3)</f>
        <v>392</v>
      </c>
      <c r="AC420" t="str">
        <f>RIGHT(V420,4)</f>
        <v>2943</v>
      </c>
      <c r="AD420" s="3" t="s">
        <v>2711</v>
      </c>
      <c r="AE420" s="3" t="str">
        <f t="shared" si="111"/>
        <v>5060</v>
      </c>
    </row>
    <row r="421" spans="1:31">
      <c r="A421" t="s">
        <v>2712</v>
      </c>
      <c r="B421" t="str">
        <f t="shared" si="97"/>
        <v>Esther</v>
      </c>
      <c r="C421" t="s">
        <v>343</v>
      </c>
      <c r="D421" t="s">
        <v>2713</v>
      </c>
      <c r="E421" t="str">
        <f t="shared" si="98"/>
        <v>Lord</v>
      </c>
      <c r="F421" t="str">
        <f t="shared" si="99"/>
        <v>ESTHERLORD</v>
      </c>
      <c r="G421" t="str">
        <f t="shared" si="100"/>
        <v>ESTHERLORD</v>
      </c>
      <c r="H421" t="str">
        <f t="shared" si="101"/>
        <v>EST LORD</v>
      </c>
      <c r="I421" t="str">
        <f t="shared" si="102"/>
        <v>EST.L</v>
      </c>
      <c r="J421" t="s">
        <v>32</v>
      </c>
      <c r="K421" t="s">
        <v>2714</v>
      </c>
      <c r="L421" t="s">
        <v>2715</v>
      </c>
      <c r="M421" t="s">
        <v>45</v>
      </c>
      <c r="N421">
        <v>93225</v>
      </c>
      <c r="O421" t="str">
        <f t="shared" si="103"/>
        <v>93225</v>
      </c>
      <c r="P421" t="str">
        <f t="shared" si="96"/>
        <v>657 Williams Avenue, Frazier Park, CA, 93225</v>
      </c>
      <c r="Q421" t="s">
        <v>2716</v>
      </c>
      <c r="R421" t="str">
        <f t="shared" si="104"/>
        <v>EstherLLord</v>
      </c>
      <c r="S421" t="str">
        <f t="shared" si="105"/>
        <v>gmail.com</v>
      </c>
      <c r="T421" t="str">
        <f t="shared" si="106"/>
        <v>gmail</v>
      </c>
      <c r="U421" t="str">
        <f t="shared" si="107"/>
        <v>EstherLLord</v>
      </c>
      <c r="V421" t="s">
        <v>2717</v>
      </c>
      <c r="W421" t="str">
        <f t="shared" si="108"/>
        <v>661-</v>
      </c>
      <c r="X421" t="str">
        <f t="shared" si="109"/>
        <v>245</v>
      </c>
      <c r="Y421" t="str">
        <f t="shared" si="110"/>
        <v>-5261</v>
      </c>
      <c r="Z421" t="str">
        <f>SUBSTITUTE(V421,"-","|",2)</f>
        <v>661-245|5261</v>
      </c>
      <c r="AA421" t="str">
        <f>LEFT(V421,3)</f>
        <v>661</v>
      </c>
      <c r="AB421" t="str">
        <f>MID(V421,5,3)</f>
        <v>245</v>
      </c>
      <c r="AC421" t="str">
        <f>RIGHT(V421,4)</f>
        <v>5261</v>
      </c>
      <c r="AD421" s="3" t="s">
        <v>2718</v>
      </c>
      <c r="AE421" s="3" t="str">
        <f t="shared" si="111"/>
        <v>035</v>
      </c>
    </row>
    <row r="422" spans="1:31">
      <c r="A422" t="s">
        <v>2358</v>
      </c>
      <c r="B422" t="str">
        <f t="shared" si="97"/>
        <v>Amelia</v>
      </c>
      <c r="C422" t="s">
        <v>297</v>
      </c>
      <c r="D422" t="s">
        <v>916</v>
      </c>
      <c r="E422" t="str">
        <f t="shared" si="98"/>
        <v>Lane</v>
      </c>
      <c r="F422" t="str">
        <f t="shared" si="99"/>
        <v>AMELIALANE</v>
      </c>
      <c r="G422" t="str">
        <f t="shared" si="100"/>
        <v>AMELIALANE</v>
      </c>
      <c r="H422" t="str">
        <f t="shared" si="101"/>
        <v>AME LANE</v>
      </c>
      <c r="I422" t="str">
        <f t="shared" si="102"/>
        <v>AME.L</v>
      </c>
      <c r="J422" t="s">
        <v>32</v>
      </c>
      <c r="K422" t="s">
        <v>2719</v>
      </c>
      <c r="L422" t="s">
        <v>2720</v>
      </c>
      <c r="M422" t="s">
        <v>62</v>
      </c>
      <c r="N422">
        <v>22801</v>
      </c>
      <c r="O422" t="str">
        <f t="shared" si="103"/>
        <v>22801</v>
      </c>
      <c r="P422" t="str">
        <f t="shared" si="96"/>
        <v>1484 White Pine Lane, Harrisonburg, VA, 22801</v>
      </c>
      <c r="Q422" t="s">
        <v>2721</v>
      </c>
      <c r="R422" t="str">
        <f t="shared" si="104"/>
        <v>AmeliaTLane</v>
      </c>
      <c r="S422" t="str">
        <f t="shared" si="105"/>
        <v>aol.com</v>
      </c>
      <c r="T422" t="str">
        <f t="shared" si="106"/>
        <v>aol</v>
      </c>
      <c r="U422" t="str">
        <f t="shared" si="107"/>
        <v>AmeliaTLane</v>
      </c>
      <c r="V422" t="s">
        <v>2722</v>
      </c>
      <c r="W422" t="str">
        <f t="shared" si="108"/>
        <v>540-</v>
      </c>
      <c r="X422" t="str">
        <f t="shared" si="109"/>
        <v>689</v>
      </c>
      <c r="Y422" t="str">
        <f t="shared" si="110"/>
        <v>-1022</v>
      </c>
      <c r="Z422" t="str">
        <f>SUBSTITUTE(V422,"-","|",2)</f>
        <v>540-689|1022</v>
      </c>
      <c r="AA422" t="str">
        <f>LEFT(V422,3)</f>
        <v>540</v>
      </c>
      <c r="AB422" t="str">
        <f>MID(V422,5,3)</f>
        <v>689</v>
      </c>
      <c r="AC422" t="str">
        <f>RIGHT(V422,4)</f>
        <v>1022</v>
      </c>
      <c r="AD422" s="3" t="s">
        <v>2723</v>
      </c>
      <c r="AE422" s="3" t="str">
        <f t="shared" si="111"/>
        <v>9086</v>
      </c>
    </row>
    <row r="423" spans="1:31">
      <c r="A423" t="s">
        <v>734</v>
      </c>
      <c r="B423" t="str">
        <f t="shared" si="97"/>
        <v>Russell</v>
      </c>
      <c r="C423" t="s">
        <v>132</v>
      </c>
      <c r="D423" t="s">
        <v>2724</v>
      </c>
      <c r="E423" t="str">
        <f t="shared" si="98"/>
        <v>Keel</v>
      </c>
      <c r="F423" t="str">
        <f t="shared" si="99"/>
        <v>RUSSELLKEEL</v>
      </c>
      <c r="G423" t="str">
        <f t="shared" si="100"/>
        <v>RUSSELLKEEL</v>
      </c>
      <c r="H423" t="str">
        <f t="shared" si="101"/>
        <v>RUS KEEL</v>
      </c>
      <c r="I423" t="str">
        <f t="shared" si="102"/>
        <v>RUS.K</v>
      </c>
      <c r="J423" t="s">
        <v>42</v>
      </c>
      <c r="K423" t="s">
        <v>2725</v>
      </c>
      <c r="L423" t="s">
        <v>273</v>
      </c>
      <c r="M423" t="s">
        <v>256</v>
      </c>
      <c r="N423">
        <v>28211</v>
      </c>
      <c r="O423" t="str">
        <f t="shared" si="103"/>
        <v>28211</v>
      </c>
      <c r="P423" t="str">
        <f t="shared" si="96"/>
        <v>3245 Harry Place, Charlotte, NC, 28211</v>
      </c>
      <c r="Q423" t="s">
        <v>2726</v>
      </c>
      <c r="R423" t="str">
        <f t="shared" si="104"/>
        <v>RussellRKeel</v>
      </c>
      <c r="S423" t="str">
        <f t="shared" si="105"/>
        <v>hotmail.com</v>
      </c>
      <c r="T423" t="str">
        <f t="shared" si="106"/>
        <v>hotmail</v>
      </c>
      <c r="U423" t="str">
        <f t="shared" si="107"/>
        <v>RussellRKeel</v>
      </c>
      <c r="V423" t="s">
        <v>2727</v>
      </c>
      <c r="W423" t="str">
        <f t="shared" si="108"/>
        <v>704-</v>
      </c>
      <c r="X423" t="str">
        <f t="shared" si="109"/>
        <v>770</v>
      </c>
      <c r="Y423" t="str">
        <f t="shared" si="110"/>
        <v>-4875</v>
      </c>
      <c r="Z423" t="str">
        <f>SUBSTITUTE(V423,"-","|",2)</f>
        <v>704-770|4875</v>
      </c>
      <c r="AA423" t="str">
        <f>LEFT(V423,3)</f>
        <v>704</v>
      </c>
      <c r="AB423" t="str">
        <f>MID(V423,5,3)</f>
        <v>770</v>
      </c>
      <c r="AC423" t="str">
        <f>RIGHT(V423,4)</f>
        <v>4875</v>
      </c>
      <c r="AD423" s="3" t="s">
        <v>2728</v>
      </c>
      <c r="AE423" s="3" t="str">
        <f t="shared" si="111"/>
        <v>8716</v>
      </c>
    </row>
    <row r="424" spans="1:31">
      <c r="A424" t="s">
        <v>251</v>
      </c>
      <c r="B424" t="str">
        <f t="shared" si="97"/>
        <v>Robert</v>
      </c>
      <c r="C424" t="s">
        <v>40</v>
      </c>
      <c r="D424" t="s">
        <v>2729</v>
      </c>
      <c r="E424" t="str">
        <f t="shared" si="98"/>
        <v>Sparks</v>
      </c>
      <c r="F424" t="str">
        <f t="shared" si="99"/>
        <v>ROBERTSPARKS</v>
      </c>
      <c r="G424" t="str">
        <f t="shared" si="100"/>
        <v>ROBERTSPARKS</v>
      </c>
      <c r="H424" t="str">
        <f t="shared" si="101"/>
        <v>ROB SPARKS</v>
      </c>
      <c r="I424" t="str">
        <f t="shared" si="102"/>
        <v>ROB.S</v>
      </c>
      <c r="J424" t="s">
        <v>42</v>
      </c>
      <c r="K424" t="s">
        <v>2730</v>
      </c>
      <c r="L424" t="s">
        <v>232</v>
      </c>
      <c r="M424" t="s">
        <v>45</v>
      </c>
      <c r="N424">
        <v>90017</v>
      </c>
      <c r="O424" t="str">
        <f t="shared" si="103"/>
        <v>90017</v>
      </c>
      <c r="P424" t="str">
        <f t="shared" si="96"/>
        <v>1564 Bel Meadow Drive, Los Angeles, CA, 90017</v>
      </c>
      <c r="Q424" t="s">
        <v>2731</v>
      </c>
      <c r="R424" t="str">
        <f t="shared" si="104"/>
        <v>RobertSSparks</v>
      </c>
      <c r="S424" t="str">
        <f t="shared" si="105"/>
        <v>hotmail.com</v>
      </c>
      <c r="T424" t="str">
        <f t="shared" si="106"/>
        <v>hotmail</v>
      </c>
      <c r="U424" t="str">
        <f t="shared" si="107"/>
        <v>RobertSSparks</v>
      </c>
      <c r="V424" t="s">
        <v>2732</v>
      </c>
      <c r="W424" t="str">
        <f t="shared" si="108"/>
        <v>909-</v>
      </c>
      <c r="X424" t="str">
        <f t="shared" si="109"/>
        <v>309</v>
      </c>
      <c r="Y424" t="str">
        <f t="shared" si="110"/>
        <v>-5979</v>
      </c>
      <c r="Z424" t="str">
        <f>SUBSTITUTE(V424,"-","|",2)</f>
        <v>909-309|5979</v>
      </c>
      <c r="AA424" t="str">
        <f>LEFT(V424,3)</f>
        <v>909</v>
      </c>
      <c r="AB424" t="str">
        <f>MID(V424,5,3)</f>
        <v>309</v>
      </c>
      <c r="AC424" t="str">
        <f>RIGHT(V424,4)</f>
        <v>5979</v>
      </c>
      <c r="AD424" s="3" t="s">
        <v>2733</v>
      </c>
      <c r="AE424" s="3" t="str">
        <f t="shared" si="111"/>
        <v>7918</v>
      </c>
    </row>
    <row r="425" spans="1:31">
      <c r="A425" t="s">
        <v>2333</v>
      </c>
      <c r="B425" t="str">
        <f t="shared" si="97"/>
        <v>Andrea</v>
      </c>
      <c r="C425" t="s">
        <v>67</v>
      </c>
      <c r="D425" t="s">
        <v>2734</v>
      </c>
      <c r="E425" t="str">
        <f t="shared" si="98"/>
        <v>Flinn</v>
      </c>
      <c r="F425" t="str">
        <f t="shared" si="99"/>
        <v>ANDREAFLINN</v>
      </c>
      <c r="G425" t="str">
        <f t="shared" si="100"/>
        <v>ANDREAFLINN</v>
      </c>
      <c r="H425" t="str">
        <f t="shared" si="101"/>
        <v>AND FLINN</v>
      </c>
      <c r="I425" t="str">
        <f t="shared" si="102"/>
        <v>AND.F</v>
      </c>
      <c r="J425" t="s">
        <v>32</v>
      </c>
      <c r="K425" t="s">
        <v>2735</v>
      </c>
      <c r="L425" t="s">
        <v>2736</v>
      </c>
      <c r="M425" t="s">
        <v>71</v>
      </c>
      <c r="N425">
        <v>70001</v>
      </c>
      <c r="O425" t="str">
        <f t="shared" si="103"/>
        <v>70001</v>
      </c>
      <c r="P425" t="str">
        <f t="shared" si="96"/>
        <v>706 Shadowmar Drive, Metairie, LA, 70001</v>
      </c>
      <c r="Q425" t="s">
        <v>2737</v>
      </c>
      <c r="R425" t="str">
        <f t="shared" si="104"/>
        <v>AndreaDFlinn</v>
      </c>
      <c r="S425" t="str">
        <f t="shared" si="105"/>
        <v>gmail.com</v>
      </c>
      <c r="T425" t="str">
        <f t="shared" si="106"/>
        <v>gmail</v>
      </c>
      <c r="U425" t="str">
        <f t="shared" si="107"/>
        <v>AndreaDFlinn</v>
      </c>
      <c r="V425" t="s">
        <v>2738</v>
      </c>
      <c r="W425" t="str">
        <f t="shared" si="108"/>
        <v>504-</v>
      </c>
      <c r="X425" t="str">
        <f t="shared" si="109"/>
        <v>832</v>
      </c>
      <c r="Y425" t="str">
        <f t="shared" si="110"/>
        <v>-3602</v>
      </c>
      <c r="Z425" t="str">
        <f>SUBSTITUTE(V425,"-","|",2)</f>
        <v>504-832|3602</v>
      </c>
      <c r="AA425" t="str">
        <f>LEFT(V425,3)</f>
        <v>504</v>
      </c>
      <c r="AB425" t="str">
        <f>MID(V425,5,3)</f>
        <v>832</v>
      </c>
      <c r="AC425" t="str">
        <f>RIGHT(V425,4)</f>
        <v>3602</v>
      </c>
      <c r="AD425" s="3" t="s">
        <v>2739</v>
      </c>
      <c r="AE425" s="3" t="str">
        <f t="shared" si="111"/>
        <v>800</v>
      </c>
    </row>
    <row r="426" spans="1:31">
      <c r="A426" t="s">
        <v>1746</v>
      </c>
      <c r="B426" t="str">
        <f t="shared" si="97"/>
        <v>Thomas</v>
      </c>
      <c r="C426" t="s">
        <v>40</v>
      </c>
      <c r="D426" t="s">
        <v>2740</v>
      </c>
      <c r="E426" t="str">
        <f t="shared" si="98"/>
        <v>Lowman</v>
      </c>
      <c r="F426" t="str">
        <f t="shared" si="99"/>
        <v>THOMASLOWMAN</v>
      </c>
      <c r="G426" t="str">
        <f t="shared" si="100"/>
        <v>THOMASLOWMAN</v>
      </c>
      <c r="H426" t="str">
        <f t="shared" si="101"/>
        <v>THO LOWMAN</v>
      </c>
      <c r="I426" t="str">
        <f t="shared" si="102"/>
        <v>THO.L</v>
      </c>
      <c r="J426" t="s">
        <v>42</v>
      </c>
      <c r="K426" t="s">
        <v>2741</v>
      </c>
      <c r="L426" t="s">
        <v>1227</v>
      </c>
      <c r="M426" t="s">
        <v>45</v>
      </c>
      <c r="N426">
        <v>90670</v>
      </c>
      <c r="O426" t="str">
        <f t="shared" si="103"/>
        <v>90670</v>
      </c>
      <c r="P426" t="str">
        <f t="shared" si="96"/>
        <v>4715 Southside Lane, Santa Fe Springs, CA, 90670</v>
      </c>
      <c r="Q426" t="s">
        <v>2742</v>
      </c>
      <c r="R426" t="str">
        <f t="shared" si="104"/>
        <v>ThomasSLowman</v>
      </c>
      <c r="S426" t="str">
        <f t="shared" si="105"/>
        <v>hotmail.com</v>
      </c>
      <c r="T426" t="str">
        <f t="shared" si="106"/>
        <v>hotmail</v>
      </c>
      <c r="U426" t="str">
        <f t="shared" si="107"/>
        <v>ThomasSLowman</v>
      </c>
      <c r="V426" t="s">
        <v>2743</v>
      </c>
      <c r="W426" t="str">
        <f t="shared" si="108"/>
        <v>323-</v>
      </c>
      <c r="X426" t="str">
        <f t="shared" si="109"/>
        <v>691</v>
      </c>
      <c r="Y426" t="str">
        <f t="shared" si="110"/>
        <v>-2424</v>
      </c>
      <c r="Z426" t="str">
        <f>SUBSTITUTE(V426,"-","|",2)</f>
        <v>323-691|2424</v>
      </c>
      <c r="AA426" t="str">
        <f>LEFT(V426,3)</f>
        <v>323</v>
      </c>
      <c r="AB426" t="str">
        <f>MID(V426,5,3)</f>
        <v>691</v>
      </c>
      <c r="AC426" t="str">
        <f>RIGHT(V426,4)</f>
        <v>2424</v>
      </c>
      <c r="AD426" s="3" t="s">
        <v>2744</v>
      </c>
      <c r="AE426" s="3" t="str">
        <f t="shared" si="111"/>
        <v>5735</v>
      </c>
    </row>
    <row r="427" spans="1:31">
      <c r="A427" t="s">
        <v>2745</v>
      </c>
      <c r="B427" t="str">
        <f t="shared" si="97"/>
        <v>Miki</v>
      </c>
      <c r="C427" t="s">
        <v>182</v>
      </c>
      <c r="D427" t="s">
        <v>2746</v>
      </c>
      <c r="E427" t="str">
        <f t="shared" si="98"/>
        <v>Gries</v>
      </c>
      <c r="F427" t="str">
        <f t="shared" si="99"/>
        <v>MIKIGRIES</v>
      </c>
      <c r="G427" t="str">
        <f t="shared" si="100"/>
        <v>MIKIGRIES</v>
      </c>
      <c r="H427" t="str">
        <f t="shared" si="101"/>
        <v>MIK GRIES</v>
      </c>
      <c r="I427" t="str">
        <f t="shared" si="102"/>
        <v>MIK.G</v>
      </c>
      <c r="J427" t="s">
        <v>32</v>
      </c>
      <c r="K427" t="s">
        <v>2747</v>
      </c>
      <c r="L427" t="s">
        <v>664</v>
      </c>
      <c r="M427" t="s">
        <v>413</v>
      </c>
      <c r="N427">
        <v>21202</v>
      </c>
      <c r="O427" t="str">
        <f t="shared" si="103"/>
        <v>21202</v>
      </c>
      <c r="P427" t="str">
        <f t="shared" si="96"/>
        <v>3504 Calvin Street, Baltimore, MD, 21202</v>
      </c>
      <c r="Q427" t="s">
        <v>2748</v>
      </c>
      <c r="R427" t="str">
        <f t="shared" si="104"/>
        <v>MikiCGries</v>
      </c>
      <c r="S427" t="str">
        <f t="shared" si="105"/>
        <v>gmail.com</v>
      </c>
      <c r="T427" t="str">
        <f t="shared" si="106"/>
        <v>gmail</v>
      </c>
      <c r="U427" t="str">
        <f t="shared" si="107"/>
        <v>MikiCGries</v>
      </c>
      <c r="V427" t="s">
        <v>2749</v>
      </c>
      <c r="W427" t="str">
        <f t="shared" si="108"/>
        <v>443-</v>
      </c>
      <c r="X427" t="str">
        <f t="shared" si="109"/>
        <v>383</v>
      </c>
      <c r="Y427" t="str">
        <f t="shared" si="110"/>
        <v>-8083</v>
      </c>
      <c r="Z427" t="str">
        <f>SUBSTITUTE(V427,"-","|",2)</f>
        <v>443-383|8083</v>
      </c>
      <c r="AA427" t="str">
        <f>LEFT(V427,3)</f>
        <v>443</v>
      </c>
      <c r="AB427" t="str">
        <f>MID(V427,5,3)</f>
        <v>383</v>
      </c>
      <c r="AC427" t="str">
        <f>RIGHT(V427,4)</f>
        <v>8083</v>
      </c>
      <c r="AD427" s="3" t="s">
        <v>2750</v>
      </c>
      <c r="AE427" s="3" t="str">
        <f t="shared" si="111"/>
        <v>8008</v>
      </c>
    </row>
    <row r="428" spans="1:31">
      <c r="A428" t="s">
        <v>2751</v>
      </c>
      <c r="B428" t="str">
        <f t="shared" si="97"/>
        <v>Frances</v>
      </c>
      <c r="C428" t="s">
        <v>182</v>
      </c>
      <c r="D428" t="s">
        <v>513</v>
      </c>
      <c r="E428" t="str">
        <f t="shared" si="98"/>
        <v>King</v>
      </c>
      <c r="F428" t="str">
        <f t="shared" si="99"/>
        <v>FRANCESKING</v>
      </c>
      <c r="G428" t="str">
        <f t="shared" si="100"/>
        <v>FRANCESKING</v>
      </c>
      <c r="H428" t="str">
        <f t="shared" si="101"/>
        <v>FRA KING</v>
      </c>
      <c r="I428" t="str">
        <f t="shared" si="102"/>
        <v>FRA.K</v>
      </c>
      <c r="J428" t="s">
        <v>32</v>
      </c>
      <c r="K428" t="s">
        <v>2752</v>
      </c>
      <c r="L428" t="s">
        <v>1157</v>
      </c>
      <c r="M428" t="s">
        <v>104</v>
      </c>
      <c r="N428">
        <v>10016</v>
      </c>
      <c r="O428" t="str">
        <f t="shared" si="103"/>
        <v>10016</v>
      </c>
      <c r="P428" t="str">
        <f t="shared" si="96"/>
        <v>3784 Turkey Pen Road, New York, NY, 10016</v>
      </c>
      <c r="Q428" t="s">
        <v>2753</v>
      </c>
      <c r="R428" t="str">
        <f t="shared" si="104"/>
        <v>FrancesCKing</v>
      </c>
      <c r="S428" t="str">
        <f t="shared" si="105"/>
        <v>gmail.com</v>
      </c>
      <c r="T428" t="str">
        <f t="shared" si="106"/>
        <v>gmail</v>
      </c>
      <c r="U428" t="str">
        <f t="shared" si="107"/>
        <v>FrancesCKing</v>
      </c>
      <c r="V428" t="s">
        <v>2754</v>
      </c>
      <c r="W428" t="str">
        <f t="shared" si="108"/>
        <v>917-</v>
      </c>
      <c r="X428" t="str">
        <f t="shared" si="109"/>
        <v>278</v>
      </c>
      <c r="Y428" t="str">
        <f t="shared" si="110"/>
        <v>-4105</v>
      </c>
      <c r="Z428" t="str">
        <f>SUBSTITUTE(V428,"-","|",2)</f>
        <v>917-278|4105</v>
      </c>
      <c r="AA428" t="str">
        <f>LEFT(V428,3)</f>
        <v>917</v>
      </c>
      <c r="AB428" t="str">
        <f>MID(V428,5,3)</f>
        <v>278</v>
      </c>
      <c r="AC428" t="str">
        <f>RIGHT(V428,4)</f>
        <v>4105</v>
      </c>
      <c r="AD428" s="3" t="s">
        <v>2755</v>
      </c>
      <c r="AE428" s="3" t="str">
        <f t="shared" si="111"/>
        <v>8912</v>
      </c>
    </row>
    <row r="429" spans="1:31">
      <c r="A429" t="s">
        <v>2756</v>
      </c>
      <c r="B429" t="str">
        <f t="shared" si="97"/>
        <v>Gilberto</v>
      </c>
      <c r="C429" t="s">
        <v>40</v>
      </c>
      <c r="D429" t="s">
        <v>2757</v>
      </c>
      <c r="E429" t="str">
        <f t="shared" si="98"/>
        <v>Lau</v>
      </c>
      <c r="F429" t="str">
        <f t="shared" si="99"/>
        <v>GILBERTOLAU</v>
      </c>
      <c r="G429" t="str">
        <f t="shared" si="100"/>
        <v>GILBERTOLAU</v>
      </c>
      <c r="H429" t="str">
        <f t="shared" si="101"/>
        <v>GIL LAU</v>
      </c>
      <c r="I429" t="str">
        <f t="shared" si="102"/>
        <v>GIL.L</v>
      </c>
      <c r="J429" t="s">
        <v>42</v>
      </c>
      <c r="K429" t="s">
        <v>2758</v>
      </c>
      <c r="L429" t="s">
        <v>2759</v>
      </c>
      <c r="M429" t="s">
        <v>347</v>
      </c>
      <c r="N429">
        <v>65616</v>
      </c>
      <c r="O429" t="str">
        <f t="shared" si="103"/>
        <v>65616</v>
      </c>
      <c r="P429" t="str">
        <f t="shared" si="96"/>
        <v>3459 Lighthouse Drive, Branson, MO, 65616</v>
      </c>
      <c r="Q429" t="s">
        <v>2760</v>
      </c>
      <c r="R429" t="str">
        <f t="shared" si="104"/>
        <v>GilbertoSLau</v>
      </c>
      <c r="S429" t="str">
        <f t="shared" si="105"/>
        <v>gmail.com</v>
      </c>
      <c r="T429" t="str">
        <f t="shared" si="106"/>
        <v>gmail</v>
      </c>
      <c r="U429" t="str">
        <f t="shared" si="107"/>
        <v>GilbertoSLau</v>
      </c>
      <c r="V429" t="s">
        <v>2761</v>
      </c>
      <c r="W429" t="str">
        <f t="shared" si="108"/>
        <v>417-</v>
      </c>
      <c r="X429" t="str">
        <f t="shared" si="109"/>
        <v>280</v>
      </c>
      <c r="Y429" t="str">
        <f t="shared" si="110"/>
        <v>-1772</v>
      </c>
      <c r="Z429" t="str">
        <f>SUBSTITUTE(V429,"-","|",2)</f>
        <v>417-280|1772</v>
      </c>
      <c r="AA429" t="str">
        <f>LEFT(V429,3)</f>
        <v>417</v>
      </c>
      <c r="AB429" t="str">
        <f>MID(V429,5,3)</f>
        <v>280</v>
      </c>
      <c r="AC429" t="str">
        <f>RIGHT(V429,4)</f>
        <v>1772</v>
      </c>
      <c r="AD429" s="3" t="s">
        <v>2762</v>
      </c>
      <c r="AE429" s="3" t="str">
        <f t="shared" si="111"/>
        <v>935</v>
      </c>
    </row>
    <row r="430" spans="1:31">
      <c r="A430" t="s">
        <v>2487</v>
      </c>
      <c r="B430" t="str">
        <f t="shared" si="97"/>
        <v>Andrew</v>
      </c>
      <c r="C430" t="s">
        <v>343</v>
      </c>
      <c r="D430" t="s">
        <v>2612</v>
      </c>
      <c r="E430" t="str">
        <f t="shared" si="98"/>
        <v>Atkinson</v>
      </c>
      <c r="F430" t="str">
        <f t="shared" si="99"/>
        <v>ANDREWATKINSON</v>
      </c>
      <c r="G430" t="str">
        <f t="shared" si="100"/>
        <v>ANDREWATKINSON</v>
      </c>
      <c r="H430" t="str">
        <f t="shared" si="101"/>
        <v>AND ATKINSON</v>
      </c>
      <c r="I430" t="str">
        <f t="shared" si="102"/>
        <v>AND.A</v>
      </c>
      <c r="J430" t="s">
        <v>42</v>
      </c>
      <c r="K430" t="s">
        <v>2763</v>
      </c>
      <c r="L430" t="s">
        <v>710</v>
      </c>
      <c r="M430" t="s">
        <v>45</v>
      </c>
      <c r="N430">
        <v>94143</v>
      </c>
      <c r="O430" t="str">
        <f t="shared" si="103"/>
        <v>94143</v>
      </c>
      <c r="P430" t="str">
        <f t="shared" si="96"/>
        <v>627 Locust View Drive, San Francisco, CA, 94143</v>
      </c>
      <c r="Q430" t="s">
        <v>2764</v>
      </c>
      <c r="R430" t="str">
        <f t="shared" si="104"/>
        <v>AndrewLAtkinson</v>
      </c>
      <c r="S430" t="str">
        <f t="shared" si="105"/>
        <v>gmail.com</v>
      </c>
      <c r="T430" t="str">
        <f t="shared" si="106"/>
        <v>gmail</v>
      </c>
      <c r="U430" t="str">
        <f t="shared" si="107"/>
        <v>AndrewLAtkinson</v>
      </c>
      <c r="V430" t="s">
        <v>2765</v>
      </c>
      <c r="W430" t="str">
        <f t="shared" si="108"/>
        <v>415-</v>
      </c>
      <c r="X430" t="str">
        <f t="shared" si="109"/>
        <v>936</v>
      </c>
      <c r="Y430" t="str">
        <f t="shared" si="110"/>
        <v>-3184</v>
      </c>
      <c r="Z430" t="str">
        <f>SUBSTITUTE(V430,"-","|",2)</f>
        <v>415-936|3184</v>
      </c>
      <c r="AA430" t="str">
        <f>LEFT(V430,3)</f>
        <v>415</v>
      </c>
      <c r="AB430" t="str">
        <f>MID(V430,5,3)</f>
        <v>936</v>
      </c>
      <c r="AC430" t="str">
        <f>RIGHT(V430,4)</f>
        <v>3184</v>
      </c>
      <c r="AD430" s="3" t="s">
        <v>2766</v>
      </c>
      <c r="AE430" s="3" t="str">
        <f t="shared" si="111"/>
        <v>767</v>
      </c>
    </row>
    <row r="431" spans="1:31">
      <c r="A431" t="s">
        <v>2767</v>
      </c>
      <c r="B431" t="str">
        <f t="shared" si="97"/>
        <v>Jeffrey</v>
      </c>
      <c r="C431" t="s">
        <v>30</v>
      </c>
      <c r="D431" t="s">
        <v>2768</v>
      </c>
      <c r="E431" t="str">
        <f t="shared" si="98"/>
        <v>Duggins</v>
      </c>
      <c r="F431" t="str">
        <f t="shared" si="99"/>
        <v>JEFFREYDUGGINS</v>
      </c>
      <c r="G431" t="str">
        <f t="shared" si="100"/>
        <v>JEFFREYDUGGINS</v>
      </c>
      <c r="H431" t="str">
        <f t="shared" si="101"/>
        <v>JEF DUGGINS</v>
      </c>
      <c r="I431" t="str">
        <f t="shared" si="102"/>
        <v>JEF.D</v>
      </c>
      <c r="J431" t="s">
        <v>42</v>
      </c>
      <c r="K431" t="s">
        <v>2769</v>
      </c>
      <c r="L431" t="s">
        <v>1515</v>
      </c>
      <c r="M431" t="s">
        <v>301</v>
      </c>
      <c r="N431">
        <v>45406</v>
      </c>
      <c r="O431" t="str">
        <f t="shared" si="103"/>
        <v>45406</v>
      </c>
      <c r="P431" t="str">
        <f t="shared" si="96"/>
        <v>3871 College Avenue, Dayton, OH, 45406</v>
      </c>
      <c r="Q431" t="s">
        <v>2770</v>
      </c>
      <c r="R431" t="str">
        <f t="shared" si="104"/>
        <v>JeffreyJDuggins</v>
      </c>
      <c r="S431" t="str">
        <f t="shared" si="105"/>
        <v>hotmail.com</v>
      </c>
      <c r="T431" t="str">
        <f t="shared" si="106"/>
        <v>hotmail</v>
      </c>
      <c r="U431" t="str">
        <f t="shared" si="107"/>
        <v>JeffreyJDuggins</v>
      </c>
      <c r="V431" t="s">
        <v>2771</v>
      </c>
      <c r="W431" t="str">
        <f t="shared" si="108"/>
        <v>937-</v>
      </c>
      <c r="X431" t="str">
        <f t="shared" si="109"/>
        <v>413</v>
      </c>
      <c r="Y431" t="str">
        <f t="shared" si="110"/>
        <v>-2916</v>
      </c>
      <c r="Z431" t="str">
        <f>SUBSTITUTE(V431,"-","|",2)</f>
        <v>937-413|2916</v>
      </c>
      <c r="AA431" t="str">
        <f>LEFT(V431,3)</f>
        <v>937</v>
      </c>
      <c r="AB431" t="str">
        <f>MID(V431,5,3)</f>
        <v>413</v>
      </c>
      <c r="AC431" t="str">
        <f>RIGHT(V431,4)</f>
        <v>2916</v>
      </c>
      <c r="AD431" s="3" t="s">
        <v>2772</v>
      </c>
      <c r="AE431" s="3" t="str">
        <f t="shared" si="111"/>
        <v>271</v>
      </c>
    </row>
    <row r="432" spans="1:31">
      <c r="A432" t="s">
        <v>2773</v>
      </c>
      <c r="B432" t="str">
        <f t="shared" si="97"/>
        <v>Olivia</v>
      </c>
      <c r="C432" t="s">
        <v>343</v>
      </c>
      <c r="D432" t="s">
        <v>2774</v>
      </c>
      <c r="E432" t="str">
        <f t="shared" si="98"/>
        <v>Munson</v>
      </c>
      <c r="F432" t="str">
        <f t="shared" si="99"/>
        <v>OLIVIAMUNSON</v>
      </c>
      <c r="G432" t="str">
        <f t="shared" si="100"/>
        <v>OLIVIAMUNSON</v>
      </c>
      <c r="H432" t="str">
        <f t="shared" si="101"/>
        <v>OLI MUNSON</v>
      </c>
      <c r="I432" t="str">
        <f t="shared" si="102"/>
        <v>OLI.M</v>
      </c>
      <c r="J432" t="s">
        <v>32</v>
      </c>
      <c r="K432" t="s">
        <v>2775</v>
      </c>
      <c r="L432" t="s">
        <v>127</v>
      </c>
      <c r="M432" t="s">
        <v>88</v>
      </c>
      <c r="N432">
        <v>75240</v>
      </c>
      <c r="O432" t="str">
        <f t="shared" si="103"/>
        <v>75240</v>
      </c>
      <c r="P432" t="str">
        <f t="shared" si="96"/>
        <v>3196 Charla Lane, Dallas, TX, 75240</v>
      </c>
      <c r="Q432" t="s">
        <v>2776</v>
      </c>
      <c r="R432" t="str">
        <f t="shared" si="104"/>
        <v>OliviaLMunson</v>
      </c>
      <c r="S432" t="str">
        <f t="shared" si="105"/>
        <v>gmail.com</v>
      </c>
      <c r="T432" t="str">
        <f t="shared" si="106"/>
        <v>gmail</v>
      </c>
      <c r="U432" t="str">
        <f t="shared" si="107"/>
        <v>OliviaLMunson</v>
      </c>
      <c r="V432" t="s">
        <v>2777</v>
      </c>
      <c r="W432" t="str">
        <f t="shared" si="108"/>
        <v>972-</v>
      </c>
      <c r="X432" t="str">
        <f t="shared" si="109"/>
        <v>774</v>
      </c>
      <c r="Y432" t="str">
        <f t="shared" si="110"/>
        <v>-2663</v>
      </c>
      <c r="Z432" t="str">
        <f>SUBSTITUTE(V432,"-","|",2)</f>
        <v>972-774|2663</v>
      </c>
      <c r="AA432" t="str">
        <f>LEFT(V432,3)</f>
        <v>972</v>
      </c>
      <c r="AB432" t="str">
        <f>MID(V432,5,3)</f>
        <v>774</v>
      </c>
      <c r="AC432" t="str">
        <f>RIGHT(V432,4)</f>
        <v>2663</v>
      </c>
      <c r="AD432" s="3" t="s">
        <v>2778</v>
      </c>
      <c r="AE432" s="3" t="str">
        <f t="shared" si="111"/>
        <v>188</v>
      </c>
    </row>
    <row r="433" spans="1:31">
      <c r="A433" t="s">
        <v>2127</v>
      </c>
      <c r="B433" t="str">
        <f t="shared" si="97"/>
        <v>Amy</v>
      </c>
      <c r="C433" t="s">
        <v>84</v>
      </c>
      <c r="D433" t="s">
        <v>1993</v>
      </c>
      <c r="E433" t="str">
        <f t="shared" si="98"/>
        <v>Carter</v>
      </c>
      <c r="F433" t="str">
        <f t="shared" si="99"/>
        <v>AMYCARTER</v>
      </c>
      <c r="G433" t="str">
        <f t="shared" si="100"/>
        <v>AMYCARTER</v>
      </c>
      <c r="H433" t="str">
        <f t="shared" si="101"/>
        <v>AMY CARTER</v>
      </c>
      <c r="I433" t="str">
        <f t="shared" si="102"/>
        <v>AMY.C</v>
      </c>
      <c r="J433" t="s">
        <v>32</v>
      </c>
      <c r="K433" t="s">
        <v>2779</v>
      </c>
      <c r="L433" t="s">
        <v>2780</v>
      </c>
      <c r="M433" t="s">
        <v>71</v>
      </c>
      <c r="N433">
        <v>71302</v>
      </c>
      <c r="O433" t="str">
        <f t="shared" si="103"/>
        <v>71302</v>
      </c>
      <c r="P433" t="str">
        <f t="shared" si="96"/>
        <v>2091 August Lane, Alexandria, LA, 71302</v>
      </c>
      <c r="Q433" t="s">
        <v>2781</v>
      </c>
      <c r="R433" t="str">
        <f t="shared" si="104"/>
        <v>AmyKCarter</v>
      </c>
      <c r="S433" t="str">
        <f t="shared" si="105"/>
        <v>gmail.com</v>
      </c>
      <c r="T433" t="str">
        <f t="shared" si="106"/>
        <v>gmail</v>
      </c>
      <c r="U433" t="str">
        <f t="shared" si="107"/>
        <v>AmyKCarter</v>
      </c>
      <c r="V433" t="s">
        <v>2782</v>
      </c>
      <c r="W433" t="str">
        <f t="shared" si="108"/>
        <v>318-</v>
      </c>
      <c r="X433" t="str">
        <f t="shared" si="109"/>
        <v>463</v>
      </c>
      <c r="Y433" t="str">
        <f t="shared" si="110"/>
        <v>-7717</v>
      </c>
      <c r="Z433" t="str">
        <f>SUBSTITUTE(V433,"-","|",2)</f>
        <v>318-463|7717</v>
      </c>
      <c r="AA433" t="str">
        <f>LEFT(V433,3)</f>
        <v>318</v>
      </c>
      <c r="AB433" t="str">
        <f>MID(V433,5,3)</f>
        <v>463</v>
      </c>
      <c r="AC433" t="str">
        <f>RIGHT(V433,4)</f>
        <v>7717</v>
      </c>
      <c r="AD433" s="3" t="s">
        <v>2783</v>
      </c>
      <c r="AE433" s="3" t="str">
        <f t="shared" si="111"/>
        <v>210</v>
      </c>
    </row>
    <row r="434" spans="1:31">
      <c r="A434" t="s">
        <v>83</v>
      </c>
      <c r="B434" t="str">
        <f t="shared" si="97"/>
        <v>Diane</v>
      </c>
      <c r="C434" t="s">
        <v>30</v>
      </c>
      <c r="D434" t="s">
        <v>2784</v>
      </c>
      <c r="E434" t="str">
        <f t="shared" si="98"/>
        <v>Coldwell</v>
      </c>
      <c r="F434" t="str">
        <f t="shared" si="99"/>
        <v>DIANECOLDWELL</v>
      </c>
      <c r="G434" t="str">
        <f t="shared" si="100"/>
        <v>DIANECOLDWELL</v>
      </c>
      <c r="H434" t="str">
        <f t="shared" si="101"/>
        <v>DIA COLDWELL</v>
      </c>
      <c r="I434" t="str">
        <f t="shared" si="102"/>
        <v>DIA.C</v>
      </c>
      <c r="J434" t="s">
        <v>32</v>
      </c>
      <c r="K434" t="s">
        <v>2785</v>
      </c>
      <c r="L434" t="s">
        <v>2786</v>
      </c>
      <c r="M434" t="s">
        <v>1385</v>
      </c>
      <c r="N434">
        <v>72143</v>
      </c>
      <c r="O434" t="str">
        <f t="shared" si="103"/>
        <v>72143</v>
      </c>
      <c r="P434" t="str">
        <f t="shared" si="96"/>
        <v>2385 Clinton Street, Searcy, AR, 72143</v>
      </c>
      <c r="Q434" t="s">
        <v>2787</v>
      </c>
      <c r="R434" t="str">
        <f t="shared" si="104"/>
        <v>DianeJColdwell</v>
      </c>
      <c r="S434" t="str">
        <f t="shared" si="105"/>
        <v>aol.com</v>
      </c>
      <c r="T434" t="str">
        <f t="shared" si="106"/>
        <v>aol</v>
      </c>
      <c r="U434" t="str">
        <f t="shared" si="107"/>
        <v>DianeJColdwell</v>
      </c>
      <c r="V434" t="s">
        <v>2788</v>
      </c>
      <c r="W434" t="str">
        <f t="shared" si="108"/>
        <v>501-</v>
      </c>
      <c r="X434" t="str">
        <f t="shared" si="109"/>
        <v>278</v>
      </c>
      <c r="Y434" t="str">
        <f t="shared" si="110"/>
        <v>-7551</v>
      </c>
      <c r="Z434" t="str">
        <f>SUBSTITUTE(V434,"-","|",2)</f>
        <v>501-278|7551</v>
      </c>
      <c r="AA434" t="str">
        <f>LEFT(V434,3)</f>
        <v>501</v>
      </c>
      <c r="AB434" t="str">
        <f>MID(V434,5,3)</f>
        <v>278</v>
      </c>
      <c r="AC434" t="str">
        <f>RIGHT(V434,4)</f>
        <v>7551</v>
      </c>
      <c r="AD434" s="3" t="s">
        <v>2789</v>
      </c>
      <c r="AE434" s="3" t="str">
        <f t="shared" si="111"/>
        <v>449</v>
      </c>
    </row>
    <row r="435" spans="1:31">
      <c r="A435" t="s">
        <v>2790</v>
      </c>
      <c r="B435" t="str">
        <f t="shared" si="97"/>
        <v>Haywood</v>
      </c>
      <c r="C435" t="s">
        <v>58</v>
      </c>
      <c r="D435" t="s">
        <v>2791</v>
      </c>
      <c r="E435" t="str">
        <f t="shared" si="98"/>
        <v>Albritton</v>
      </c>
      <c r="F435" t="str">
        <f t="shared" si="99"/>
        <v>HAYWOODALBRITTON</v>
      </c>
      <c r="G435" t="str">
        <f t="shared" si="100"/>
        <v>HAYWOODALBRITTON</v>
      </c>
      <c r="H435" t="str">
        <f t="shared" si="101"/>
        <v>HAY ALBRITTON</v>
      </c>
      <c r="I435" t="str">
        <f t="shared" si="102"/>
        <v>HAY.A</v>
      </c>
      <c r="J435" t="s">
        <v>42</v>
      </c>
      <c r="K435" t="s">
        <v>2792</v>
      </c>
      <c r="L435" t="s">
        <v>2793</v>
      </c>
      <c r="M435" t="s">
        <v>79</v>
      </c>
      <c r="N435">
        <v>97222</v>
      </c>
      <c r="O435" t="str">
        <f t="shared" si="103"/>
        <v>97222</v>
      </c>
      <c r="P435" t="str">
        <f t="shared" si="96"/>
        <v>1778 Kincheloe Road, Milwaukie, OR, 97222</v>
      </c>
      <c r="Q435" t="s">
        <v>2794</v>
      </c>
      <c r="R435" t="str">
        <f t="shared" si="104"/>
        <v>HaywoodMAlbritton</v>
      </c>
      <c r="S435" t="str">
        <f t="shared" si="105"/>
        <v>aol.com</v>
      </c>
      <c r="T435" t="str">
        <f t="shared" si="106"/>
        <v>aol</v>
      </c>
      <c r="U435" t="str">
        <f t="shared" si="107"/>
        <v>HaywoodMAlbritton</v>
      </c>
      <c r="V435" t="s">
        <v>2795</v>
      </c>
      <c r="W435" t="str">
        <f t="shared" si="108"/>
        <v>503-</v>
      </c>
      <c r="X435" t="str">
        <f t="shared" si="109"/>
        <v>513</v>
      </c>
      <c r="Y435" t="str">
        <f t="shared" si="110"/>
        <v>-3931</v>
      </c>
      <c r="Z435" t="str">
        <f>SUBSTITUTE(V435,"-","|",2)</f>
        <v>503-513|3931</v>
      </c>
      <c r="AA435" t="str">
        <f>LEFT(V435,3)</f>
        <v>503</v>
      </c>
      <c r="AB435" t="str">
        <f>MID(V435,5,3)</f>
        <v>513</v>
      </c>
      <c r="AC435" t="str">
        <f>RIGHT(V435,4)</f>
        <v>3931</v>
      </c>
      <c r="AD435" s="3" t="s">
        <v>2796</v>
      </c>
      <c r="AE435" s="3" t="str">
        <f t="shared" si="111"/>
        <v>2978</v>
      </c>
    </row>
    <row r="436" spans="1:31">
      <c r="A436" t="s">
        <v>2797</v>
      </c>
      <c r="B436" t="str">
        <f t="shared" si="97"/>
        <v>Dean</v>
      </c>
      <c r="C436" t="s">
        <v>182</v>
      </c>
      <c r="D436" t="s">
        <v>2798</v>
      </c>
      <c r="E436" t="str">
        <f t="shared" si="98"/>
        <v>Day</v>
      </c>
      <c r="F436" t="str">
        <f t="shared" si="99"/>
        <v>DEANDAY</v>
      </c>
      <c r="G436" t="str">
        <f t="shared" si="100"/>
        <v>DEANDAY</v>
      </c>
      <c r="H436" t="str">
        <f t="shared" si="101"/>
        <v>DEA DAY</v>
      </c>
      <c r="I436" t="str">
        <f t="shared" si="102"/>
        <v>DEA.D</v>
      </c>
      <c r="J436" t="s">
        <v>42</v>
      </c>
      <c r="K436" t="s">
        <v>2799</v>
      </c>
      <c r="L436" t="s">
        <v>1129</v>
      </c>
      <c r="M436" t="s">
        <v>1130</v>
      </c>
      <c r="N436">
        <v>96819</v>
      </c>
      <c r="O436" t="str">
        <f t="shared" si="103"/>
        <v>96819</v>
      </c>
      <c r="P436" t="str">
        <f t="shared" si="96"/>
        <v>1037 Randall Drive, Honolulu, HI, 96819</v>
      </c>
      <c r="Q436" t="s">
        <v>2800</v>
      </c>
      <c r="R436" t="str">
        <f t="shared" si="104"/>
        <v>DeanCDay</v>
      </c>
      <c r="S436" t="str">
        <f t="shared" si="105"/>
        <v>aol.com</v>
      </c>
      <c r="T436" t="str">
        <f t="shared" si="106"/>
        <v>aol</v>
      </c>
      <c r="U436" t="str">
        <f t="shared" si="107"/>
        <v>DeanCDay</v>
      </c>
      <c r="V436" t="s">
        <v>2801</v>
      </c>
      <c r="W436" t="str">
        <f t="shared" si="108"/>
        <v>808-</v>
      </c>
      <c r="X436" t="str">
        <f t="shared" si="109"/>
        <v>782</v>
      </c>
      <c r="Y436" t="str">
        <f t="shared" si="110"/>
        <v>-9339</v>
      </c>
      <c r="Z436" t="str">
        <f>SUBSTITUTE(V436,"-","|",2)</f>
        <v>808-782|9339</v>
      </c>
      <c r="AA436" t="str">
        <f>LEFT(V436,3)</f>
        <v>808</v>
      </c>
      <c r="AB436" t="str">
        <f>MID(V436,5,3)</f>
        <v>782</v>
      </c>
      <c r="AC436" t="str">
        <f>RIGHT(V436,4)</f>
        <v>9339</v>
      </c>
      <c r="AD436" s="3" t="s">
        <v>2802</v>
      </c>
      <c r="AE436" s="3" t="str">
        <f t="shared" si="111"/>
        <v>197</v>
      </c>
    </row>
    <row r="437" spans="1:31">
      <c r="A437" t="s">
        <v>49</v>
      </c>
      <c r="B437" t="str">
        <f t="shared" si="97"/>
        <v>Susan</v>
      </c>
      <c r="C437" t="s">
        <v>132</v>
      </c>
      <c r="D437" t="s">
        <v>2803</v>
      </c>
      <c r="E437" t="str">
        <f t="shared" si="98"/>
        <v>Wallace</v>
      </c>
      <c r="F437" t="str">
        <f t="shared" si="99"/>
        <v>SUSANWALLACE</v>
      </c>
      <c r="G437" t="str">
        <f t="shared" si="100"/>
        <v>SUSANWALLACE</v>
      </c>
      <c r="H437" t="str">
        <f t="shared" si="101"/>
        <v>SUS WALLACE</v>
      </c>
      <c r="I437" t="str">
        <f t="shared" si="102"/>
        <v>SUS.W</v>
      </c>
      <c r="J437" t="s">
        <v>32</v>
      </c>
      <c r="K437" t="s">
        <v>2804</v>
      </c>
      <c r="L437" t="s">
        <v>1936</v>
      </c>
      <c r="M437" t="s">
        <v>45</v>
      </c>
      <c r="N437">
        <v>95113</v>
      </c>
      <c r="O437" t="str">
        <f t="shared" si="103"/>
        <v>95113</v>
      </c>
      <c r="P437" t="str">
        <f t="shared" si="96"/>
        <v>662 Parrish Avenue, San Jose, CA, 95113</v>
      </c>
      <c r="Q437" t="s">
        <v>2805</v>
      </c>
      <c r="R437" t="str">
        <f t="shared" si="104"/>
        <v>SusanRWallace</v>
      </c>
      <c r="S437" t="str">
        <f t="shared" si="105"/>
        <v>gmail.com</v>
      </c>
      <c r="T437" t="str">
        <f t="shared" si="106"/>
        <v>gmail</v>
      </c>
      <c r="U437" t="str">
        <f t="shared" si="107"/>
        <v>SusanRWallace</v>
      </c>
      <c r="V437" t="s">
        <v>2806</v>
      </c>
      <c r="W437" t="str">
        <f t="shared" si="108"/>
        <v>831-</v>
      </c>
      <c r="X437" t="str">
        <f t="shared" si="109"/>
        <v>218</v>
      </c>
      <c r="Y437" t="str">
        <f t="shared" si="110"/>
        <v>-2456</v>
      </c>
      <c r="Z437" t="str">
        <f>SUBSTITUTE(V437,"-","|",2)</f>
        <v>831-218|2456</v>
      </c>
      <c r="AA437" t="str">
        <f>LEFT(V437,3)</f>
        <v>831</v>
      </c>
      <c r="AB437" t="str">
        <f>MID(V437,5,3)</f>
        <v>218</v>
      </c>
      <c r="AC437" t="str">
        <f>RIGHT(V437,4)</f>
        <v>2456</v>
      </c>
      <c r="AD437" s="3" t="s">
        <v>2807</v>
      </c>
      <c r="AE437" s="3" t="str">
        <f t="shared" si="111"/>
        <v>807</v>
      </c>
    </row>
    <row r="438" spans="1:31">
      <c r="A438" t="s">
        <v>335</v>
      </c>
      <c r="B438" t="str">
        <f t="shared" si="97"/>
        <v>Anthony</v>
      </c>
      <c r="C438" t="s">
        <v>67</v>
      </c>
      <c r="D438" t="s">
        <v>2808</v>
      </c>
      <c r="E438" t="str">
        <f t="shared" si="98"/>
        <v>Brawner</v>
      </c>
      <c r="F438" t="str">
        <f t="shared" si="99"/>
        <v>ANTHONYBRAWNER</v>
      </c>
      <c r="G438" t="str">
        <f t="shared" si="100"/>
        <v>ANTHONYBRAWNER</v>
      </c>
      <c r="H438" t="str">
        <f t="shared" si="101"/>
        <v>ANT BRAWNER</v>
      </c>
      <c r="I438" t="str">
        <f t="shared" si="102"/>
        <v>ANT.B</v>
      </c>
      <c r="J438" t="s">
        <v>42</v>
      </c>
      <c r="K438" t="s">
        <v>2809</v>
      </c>
      <c r="L438" t="s">
        <v>664</v>
      </c>
      <c r="M438" t="s">
        <v>413</v>
      </c>
      <c r="N438">
        <v>21202</v>
      </c>
      <c r="O438" t="str">
        <f t="shared" si="103"/>
        <v>21202</v>
      </c>
      <c r="P438" t="str">
        <f t="shared" si="96"/>
        <v>481 Five Points, Baltimore, MD, 21202</v>
      </c>
      <c r="Q438" t="s">
        <v>2810</v>
      </c>
      <c r="R438" t="str">
        <f t="shared" si="104"/>
        <v>AnthonyDBrawner</v>
      </c>
      <c r="S438" t="str">
        <f t="shared" si="105"/>
        <v>aol.com</v>
      </c>
      <c r="T438" t="str">
        <f t="shared" si="106"/>
        <v>aol</v>
      </c>
      <c r="U438" t="str">
        <f t="shared" si="107"/>
        <v>AnthonyDBrawner</v>
      </c>
      <c r="V438" t="s">
        <v>2811</v>
      </c>
      <c r="W438" t="str">
        <f t="shared" si="108"/>
        <v>443-</v>
      </c>
      <c r="X438" t="str">
        <f t="shared" si="109"/>
        <v>227</v>
      </c>
      <c r="Y438" t="str">
        <f t="shared" si="110"/>
        <v>-9750</v>
      </c>
      <c r="Z438" t="str">
        <f>SUBSTITUTE(V438,"-","|",2)</f>
        <v>443-227|9750</v>
      </c>
      <c r="AA438" t="str">
        <f>LEFT(V438,3)</f>
        <v>443</v>
      </c>
      <c r="AB438" t="str">
        <f>MID(V438,5,3)</f>
        <v>227</v>
      </c>
      <c r="AC438" t="str">
        <f>RIGHT(V438,4)</f>
        <v>9750</v>
      </c>
      <c r="AD438" s="3" t="s">
        <v>2812</v>
      </c>
      <c r="AE438" s="3" t="str">
        <f t="shared" si="111"/>
        <v>0885</v>
      </c>
    </row>
    <row r="439" spans="1:31">
      <c r="A439" t="s">
        <v>1257</v>
      </c>
      <c r="B439" t="str">
        <f t="shared" si="97"/>
        <v>Jesse</v>
      </c>
      <c r="C439" t="s">
        <v>40</v>
      </c>
      <c r="D439" t="s">
        <v>2813</v>
      </c>
      <c r="E439" t="str">
        <f t="shared" si="98"/>
        <v>Morrow</v>
      </c>
      <c r="F439" t="str">
        <f t="shared" si="99"/>
        <v>JESSEMORROW</v>
      </c>
      <c r="G439" t="str">
        <f t="shared" si="100"/>
        <v>JESSEMORROW</v>
      </c>
      <c r="H439" t="str">
        <f t="shared" si="101"/>
        <v>JES MORROW</v>
      </c>
      <c r="I439" t="str">
        <f t="shared" si="102"/>
        <v>JES.M</v>
      </c>
      <c r="J439" t="s">
        <v>32</v>
      </c>
      <c r="K439" t="s">
        <v>2814</v>
      </c>
      <c r="L439" t="s">
        <v>2815</v>
      </c>
      <c r="M439" t="s">
        <v>413</v>
      </c>
      <c r="N439">
        <v>20705</v>
      </c>
      <c r="O439" t="str">
        <f t="shared" si="103"/>
        <v>20705</v>
      </c>
      <c r="P439" t="str">
        <f t="shared" si="96"/>
        <v>2702 Chatham Way, Beltsville, MD, 20705</v>
      </c>
      <c r="Q439" t="s">
        <v>2816</v>
      </c>
      <c r="R439" t="str">
        <f t="shared" si="104"/>
        <v>JesseSMorrow</v>
      </c>
      <c r="S439" t="str">
        <f t="shared" si="105"/>
        <v>hotmail.com</v>
      </c>
      <c r="T439" t="str">
        <f t="shared" si="106"/>
        <v>hotmail</v>
      </c>
      <c r="U439" t="str">
        <f t="shared" si="107"/>
        <v>JesseSMorrow</v>
      </c>
      <c r="V439" t="s">
        <v>2817</v>
      </c>
      <c r="W439" t="str">
        <f t="shared" si="108"/>
        <v>240-</v>
      </c>
      <c r="X439" t="str">
        <f t="shared" si="109"/>
        <v>643</v>
      </c>
      <c r="Y439" t="str">
        <f t="shared" si="110"/>
        <v>-5792</v>
      </c>
      <c r="Z439" t="str">
        <f>SUBSTITUTE(V439,"-","|",2)</f>
        <v>240-643|5792</v>
      </c>
      <c r="AA439" t="str">
        <f>LEFT(V439,3)</f>
        <v>240</v>
      </c>
      <c r="AB439" t="str">
        <f>MID(V439,5,3)</f>
        <v>643</v>
      </c>
      <c r="AC439" t="str">
        <f>RIGHT(V439,4)</f>
        <v>5792</v>
      </c>
      <c r="AD439" s="3" t="s">
        <v>2818</v>
      </c>
      <c r="AE439" s="3" t="str">
        <f t="shared" si="111"/>
        <v>597</v>
      </c>
    </row>
    <row r="440" spans="1:31">
      <c r="A440" t="s">
        <v>2819</v>
      </c>
      <c r="B440" t="str">
        <f t="shared" si="97"/>
        <v>Stacy</v>
      </c>
      <c r="C440" t="s">
        <v>40</v>
      </c>
      <c r="D440" t="s">
        <v>2820</v>
      </c>
      <c r="E440" t="str">
        <f t="shared" si="98"/>
        <v>Petersen</v>
      </c>
      <c r="F440" t="str">
        <f t="shared" si="99"/>
        <v>STACYPETERSEN</v>
      </c>
      <c r="G440" t="str">
        <f t="shared" si="100"/>
        <v>STACYPETERSEN</v>
      </c>
      <c r="H440" t="str">
        <f t="shared" si="101"/>
        <v>STA PETERSEN</v>
      </c>
      <c r="I440" t="str">
        <f t="shared" si="102"/>
        <v>STA.P</v>
      </c>
      <c r="J440" t="s">
        <v>32</v>
      </c>
      <c r="K440" t="s">
        <v>2821</v>
      </c>
      <c r="L440" t="s">
        <v>2822</v>
      </c>
      <c r="M440" t="s">
        <v>347</v>
      </c>
      <c r="N440">
        <v>64106</v>
      </c>
      <c r="O440" t="str">
        <f t="shared" si="103"/>
        <v>64106</v>
      </c>
      <c r="P440" t="str">
        <f t="shared" si="96"/>
        <v>1887 Oak Lane, Kansas City, MO, 64106</v>
      </c>
      <c r="Q440" t="s">
        <v>2823</v>
      </c>
      <c r="R440" t="str">
        <f t="shared" si="104"/>
        <v>StacySPetersen</v>
      </c>
      <c r="S440" t="str">
        <f t="shared" si="105"/>
        <v>gmail.com</v>
      </c>
      <c r="T440" t="str">
        <f t="shared" si="106"/>
        <v>gmail</v>
      </c>
      <c r="U440" t="str">
        <f t="shared" si="107"/>
        <v>StacySPetersen</v>
      </c>
      <c r="V440" t="s">
        <v>2824</v>
      </c>
      <c r="W440" t="str">
        <f t="shared" si="108"/>
        <v>660-</v>
      </c>
      <c r="X440" t="str">
        <f t="shared" si="109"/>
        <v>797</v>
      </c>
      <c r="Y440" t="str">
        <f t="shared" si="110"/>
        <v>-8359</v>
      </c>
      <c r="Z440" t="str">
        <f>SUBSTITUTE(V440,"-","|",2)</f>
        <v>660-797|8359</v>
      </c>
      <c r="AA440" t="str">
        <f>LEFT(V440,3)</f>
        <v>660</v>
      </c>
      <c r="AB440" t="str">
        <f>MID(V440,5,3)</f>
        <v>797</v>
      </c>
      <c r="AC440" t="str">
        <f>RIGHT(V440,4)</f>
        <v>8359</v>
      </c>
      <c r="AD440" s="3" t="s">
        <v>2825</v>
      </c>
      <c r="AE440" s="3" t="str">
        <f t="shared" si="111"/>
        <v>6141</v>
      </c>
    </row>
    <row r="441" spans="1:31">
      <c r="A441" t="s">
        <v>458</v>
      </c>
      <c r="B441" t="str">
        <f t="shared" si="97"/>
        <v>Brenda</v>
      </c>
      <c r="C441" t="s">
        <v>343</v>
      </c>
      <c r="D441" t="s">
        <v>2826</v>
      </c>
      <c r="E441" t="str">
        <f t="shared" si="98"/>
        <v>Norris</v>
      </c>
      <c r="F441" t="str">
        <f t="shared" si="99"/>
        <v>BRENDANORRIS</v>
      </c>
      <c r="G441" t="str">
        <f t="shared" si="100"/>
        <v>BRENDANORRIS</v>
      </c>
      <c r="H441" t="str">
        <f t="shared" si="101"/>
        <v>BRE NORRIS</v>
      </c>
      <c r="I441" t="str">
        <f t="shared" si="102"/>
        <v>BRE.N</v>
      </c>
      <c r="J441" t="s">
        <v>32</v>
      </c>
      <c r="K441" t="s">
        <v>2827</v>
      </c>
      <c r="L441" t="s">
        <v>2828</v>
      </c>
      <c r="M441" t="s">
        <v>538</v>
      </c>
      <c r="N441">
        <v>17111</v>
      </c>
      <c r="O441" t="str">
        <f t="shared" si="103"/>
        <v>17111</v>
      </c>
      <c r="P441" t="str">
        <f t="shared" si="96"/>
        <v>2832 Lincoln Drive, Harrisburg, PA, 17111</v>
      </c>
      <c r="Q441" t="s">
        <v>2829</v>
      </c>
      <c r="R441" t="str">
        <f t="shared" si="104"/>
        <v>BrendaLNorris</v>
      </c>
      <c r="S441" t="str">
        <f t="shared" si="105"/>
        <v>gmail.com</v>
      </c>
      <c r="T441" t="str">
        <f t="shared" si="106"/>
        <v>gmail</v>
      </c>
      <c r="U441" t="str">
        <f t="shared" si="107"/>
        <v>BrendaLNorris</v>
      </c>
      <c r="V441" t="s">
        <v>2830</v>
      </c>
      <c r="W441" t="str">
        <f t="shared" si="108"/>
        <v>717-</v>
      </c>
      <c r="X441" t="str">
        <f t="shared" si="109"/>
        <v>575</v>
      </c>
      <c r="Y441" t="str">
        <f t="shared" si="110"/>
        <v>-6752</v>
      </c>
      <c r="Z441" t="str">
        <f>SUBSTITUTE(V441,"-","|",2)</f>
        <v>717-575|6752</v>
      </c>
      <c r="AA441" t="str">
        <f>LEFT(V441,3)</f>
        <v>717</v>
      </c>
      <c r="AB441" t="str">
        <f>MID(V441,5,3)</f>
        <v>575</v>
      </c>
      <c r="AC441" t="str">
        <f>RIGHT(V441,4)</f>
        <v>6752</v>
      </c>
      <c r="AD441" s="3" t="s">
        <v>2831</v>
      </c>
      <c r="AE441" s="3" t="str">
        <f t="shared" si="111"/>
        <v>8580</v>
      </c>
    </row>
    <row r="442" spans="1:31">
      <c r="A442" t="s">
        <v>2127</v>
      </c>
      <c r="B442" t="str">
        <f t="shared" si="97"/>
        <v>Amy</v>
      </c>
      <c r="C442" t="s">
        <v>365</v>
      </c>
      <c r="D442" t="s">
        <v>1746</v>
      </c>
      <c r="E442" t="str">
        <f t="shared" si="98"/>
        <v>Thomas</v>
      </c>
      <c r="F442" t="str">
        <f t="shared" si="99"/>
        <v>AMYTHOMAS</v>
      </c>
      <c r="G442" t="str">
        <f t="shared" si="100"/>
        <v>AMYTHOMAS</v>
      </c>
      <c r="H442" t="str">
        <f t="shared" si="101"/>
        <v>AMY THOMAS</v>
      </c>
      <c r="I442" t="str">
        <f t="shared" si="102"/>
        <v>AMY.T</v>
      </c>
      <c r="J442" t="s">
        <v>32</v>
      </c>
      <c r="K442" t="s">
        <v>2832</v>
      </c>
      <c r="L442" t="s">
        <v>2736</v>
      </c>
      <c r="M442" t="s">
        <v>71</v>
      </c>
      <c r="N442">
        <v>70001</v>
      </c>
      <c r="O442" t="str">
        <f t="shared" si="103"/>
        <v>70001</v>
      </c>
      <c r="P442" t="str">
        <f t="shared" si="96"/>
        <v>2180 Paul Wayne Haggerty Road, Metairie, LA, 70001</v>
      </c>
      <c r="Q442" t="s">
        <v>2833</v>
      </c>
      <c r="R442" t="str">
        <f t="shared" si="104"/>
        <v>AmyGThomas</v>
      </c>
      <c r="S442" t="str">
        <f t="shared" si="105"/>
        <v>aol.com</v>
      </c>
      <c r="T442" t="str">
        <f t="shared" si="106"/>
        <v>aol</v>
      </c>
      <c r="U442" t="str">
        <f t="shared" si="107"/>
        <v>AmyGThomas</v>
      </c>
      <c r="V442" t="s">
        <v>2834</v>
      </c>
      <c r="W442" t="str">
        <f t="shared" si="108"/>
        <v>504-</v>
      </c>
      <c r="X442" t="str">
        <f t="shared" si="109"/>
        <v>415</v>
      </c>
      <c r="Y442" t="str">
        <f t="shared" si="110"/>
        <v>-5456</v>
      </c>
      <c r="Z442" t="str">
        <f>SUBSTITUTE(V442,"-","|",2)</f>
        <v>504-415|5456</v>
      </c>
      <c r="AA442" t="str">
        <f>LEFT(V442,3)</f>
        <v>504</v>
      </c>
      <c r="AB442" t="str">
        <f>MID(V442,5,3)</f>
        <v>415</v>
      </c>
      <c r="AC442" t="str">
        <f>RIGHT(V442,4)</f>
        <v>5456</v>
      </c>
      <c r="AD442" s="3" t="s">
        <v>2835</v>
      </c>
      <c r="AE442" s="3" t="str">
        <f t="shared" si="111"/>
        <v>065</v>
      </c>
    </row>
    <row r="443" spans="1:31">
      <c r="A443" t="s">
        <v>2836</v>
      </c>
      <c r="B443" t="str">
        <f t="shared" si="97"/>
        <v>Virginia</v>
      </c>
      <c r="C443" t="s">
        <v>58</v>
      </c>
      <c r="D443" t="s">
        <v>2837</v>
      </c>
      <c r="E443" t="str">
        <f t="shared" si="98"/>
        <v>Givens</v>
      </c>
      <c r="F443" t="str">
        <f t="shared" si="99"/>
        <v>VIRGINIAGIVENS</v>
      </c>
      <c r="G443" t="str">
        <f t="shared" si="100"/>
        <v>VIRGINIAGIVENS</v>
      </c>
      <c r="H443" t="str">
        <f t="shared" si="101"/>
        <v>VIR GIVENS</v>
      </c>
      <c r="I443" t="str">
        <f t="shared" si="102"/>
        <v>VIR.G</v>
      </c>
      <c r="J443" t="s">
        <v>32</v>
      </c>
      <c r="K443" t="s">
        <v>2838</v>
      </c>
      <c r="L443" t="s">
        <v>2839</v>
      </c>
      <c r="M443" t="s">
        <v>225</v>
      </c>
      <c r="N443">
        <v>24740</v>
      </c>
      <c r="O443" t="str">
        <f t="shared" si="103"/>
        <v>24740</v>
      </c>
      <c r="P443" t="str">
        <f t="shared" si="96"/>
        <v>3716 Fulton Street, Princeton, WV, 24740</v>
      </c>
      <c r="Q443" t="s">
        <v>2840</v>
      </c>
      <c r="R443" t="str">
        <f t="shared" si="104"/>
        <v>VirginiaMGivens</v>
      </c>
      <c r="S443" t="str">
        <f t="shared" si="105"/>
        <v>hotmail.com</v>
      </c>
      <c r="T443" t="str">
        <f t="shared" si="106"/>
        <v>hotmail</v>
      </c>
      <c r="U443" t="str">
        <f t="shared" si="107"/>
        <v>VirginiaMGivens</v>
      </c>
      <c r="V443" t="s">
        <v>2841</v>
      </c>
      <c r="W443" t="str">
        <f t="shared" si="108"/>
        <v>304-</v>
      </c>
      <c r="X443" t="str">
        <f t="shared" si="109"/>
        <v>487</v>
      </c>
      <c r="Y443" t="str">
        <f t="shared" si="110"/>
        <v>-6096</v>
      </c>
      <c r="Z443" t="str">
        <f>SUBSTITUTE(V443,"-","|",2)</f>
        <v>304-487|6096</v>
      </c>
      <c r="AA443" t="str">
        <f>LEFT(V443,3)</f>
        <v>304</v>
      </c>
      <c r="AB443" t="str">
        <f>MID(V443,5,3)</f>
        <v>487</v>
      </c>
      <c r="AC443" t="str">
        <f>RIGHT(V443,4)</f>
        <v>6096</v>
      </c>
      <c r="AD443" s="3" t="s">
        <v>2842</v>
      </c>
      <c r="AE443" s="3" t="str">
        <f t="shared" si="111"/>
        <v>219</v>
      </c>
    </row>
    <row r="444" spans="1:31">
      <c r="A444" t="s">
        <v>950</v>
      </c>
      <c r="B444" t="str">
        <f t="shared" si="97"/>
        <v>Leroy</v>
      </c>
      <c r="C444" t="s">
        <v>30</v>
      </c>
      <c r="D444" t="s">
        <v>2843</v>
      </c>
      <c r="E444" t="str">
        <f t="shared" si="98"/>
        <v>Ballweg</v>
      </c>
      <c r="F444" t="str">
        <f t="shared" si="99"/>
        <v>LEROYBALLWEG</v>
      </c>
      <c r="G444" t="str">
        <f t="shared" si="100"/>
        <v>LEROYBALLWEG</v>
      </c>
      <c r="H444" t="str">
        <f t="shared" si="101"/>
        <v>LER BALLWEG</v>
      </c>
      <c r="I444" t="str">
        <f t="shared" si="102"/>
        <v>LER.B</v>
      </c>
      <c r="J444" t="s">
        <v>42</v>
      </c>
      <c r="K444" t="s">
        <v>2844</v>
      </c>
      <c r="L444" t="s">
        <v>953</v>
      </c>
      <c r="M444" t="s">
        <v>301</v>
      </c>
      <c r="N444">
        <v>45236</v>
      </c>
      <c r="O444" t="str">
        <f t="shared" si="103"/>
        <v>45236</v>
      </c>
      <c r="P444" t="str">
        <f t="shared" si="96"/>
        <v>3532 Round Table Drive, Cincinnati, OH, 45236</v>
      </c>
      <c r="Q444" t="s">
        <v>2845</v>
      </c>
      <c r="R444" t="str">
        <f t="shared" si="104"/>
        <v>LeroyJBallweg</v>
      </c>
      <c r="S444" t="str">
        <f t="shared" si="105"/>
        <v>aol.com</v>
      </c>
      <c r="T444" t="str">
        <f t="shared" si="106"/>
        <v>aol</v>
      </c>
      <c r="U444" t="str">
        <f t="shared" si="107"/>
        <v>LeroyJBallweg</v>
      </c>
      <c r="V444" t="s">
        <v>2846</v>
      </c>
      <c r="W444" t="str">
        <f t="shared" si="108"/>
        <v>513-</v>
      </c>
      <c r="X444" t="str">
        <f t="shared" si="109"/>
        <v>793</v>
      </c>
      <c r="Y444" t="str">
        <f t="shared" si="110"/>
        <v>-4303</v>
      </c>
      <c r="Z444" t="str">
        <f>SUBSTITUTE(V444,"-","|",2)</f>
        <v>513-793|4303</v>
      </c>
      <c r="AA444" t="str">
        <f>LEFT(V444,3)</f>
        <v>513</v>
      </c>
      <c r="AB444" t="str">
        <f>MID(V444,5,3)</f>
        <v>793</v>
      </c>
      <c r="AC444" t="str">
        <f>RIGHT(V444,4)</f>
        <v>4303</v>
      </c>
      <c r="AD444" s="3" t="s">
        <v>2847</v>
      </c>
      <c r="AE444" s="3" t="str">
        <f t="shared" si="111"/>
        <v>5756</v>
      </c>
    </row>
    <row r="445" spans="1:31">
      <c r="A445" t="s">
        <v>2848</v>
      </c>
      <c r="B445" t="str">
        <f t="shared" si="97"/>
        <v>Samuel</v>
      </c>
      <c r="C445" t="s">
        <v>58</v>
      </c>
      <c r="D445" t="s">
        <v>1795</v>
      </c>
      <c r="E445" t="str">
        <f t="shared" si="98"/>
        <v>Robinson</v>
      </c>
      <c r="F445" t="str">
        <f t="shared" si="99"/>
        <v>SAMUELROBINSON</v>
      </c>
      <c r="G445" t="str">
        <f t="shared" si="100"/>
        <v>SAMUELROBINSON</v>
      </c>
      <c r="H445" t="str">
        <f t="shared" si="101"/>
        <v>SAM ROBINSON</v>
      </c>
      <c r="I445" t="str">
        <f t="shared" si="102"/>
        <v>SAM.R</v>
      </c>
      <c r="J445" t="s">
        <v>42</v>
      </c>
      <c r="K445" t="s">
        <v>2849</v>
      </c>
      <c r="L445" t="s">
        <v>354</v>
      </c>
      <c r="M445" t="s">
        <v>1020</v>
      </c>
      <c r="N445">
        <v>29601</v>
      </c>
      <c r="O445" t="str">
        <f t="shared" si="103"/>
        <v>29601</v>
      </c>
      <c r="P445" t="str">
        <f t="shared" si="96"/>
        <v>1518 Pooh Bear Lane, Greenville, SC, 29601</v>
      </c>
      <c r="Q445" t="s">
        <v>2850</v>
      </c>
      <c r="R445" t="str">
        <f t="shared" si="104"/>
        <v>SamuelMRobinson</v>
      </c>
      <c r="S445" t="str">
        <f t="shared" si="105"/>
        <v>gmail.com</v>
      </c>
      <c r="T445" t="str">
        <f t="shared" si="106"/>
        <v>gmail</v>
      </c>
      <c r="U445" t="str">
        <f t="shared" si="107"/>
        <v>SamuelMRobinson</v>
      </c>
      <c r="V445" t="s">
        <v>2851</v>
      </c>
      <c r="W445" t="str">
        <f t="shared" si="108"/>
        <v>864-</v>
      </c>
      <c r="X445" t="str">
        <f t="shared" si="109"/>
        <v>621</v>
      </c>
      <c r="Y445" t="str">
        <f t="shared" si="110"/>
        <v>-2834</v>
      </c>
      <c r="Z445" t="str">
        <f>SUBSTITUTE(V445,"-","|",2)</f>
        <v>864-621|2834</v>
      </c>
      <c r="AA445" t="str">
        <f>LEFT(V445,3)</f>
        <v>864</v>
      </c>
      <c r="AB445" t="str">
        <f>MID(V445,5,3)</f>
        <v>621</v>
      </c>
      <c r="AC445" t="str">
        <f>RIGHT(V445,4)</f>
        <v>2834</v>
      </c>
      <c r="AD445" s="3" t="s">
        <v>2852</v>
      </c>
      <c r="AE445" s="3" t="str">
        <f t="shared" si="111"/>
        <v>272</v>
      </c>
    </row>
    <row r="446" spans="1:31">
      <c r="A446" t="s">
        <v>2853</v>
      </c>
      <c r="B446" t="str">
        <f t="shared" si="97"/>
        <v>Derek</v>
      </c>
      <c r="C446" t="s">
        <v>343</v>
      </c>
      <c r="D446" t="s">
        <v>2854</v>
      </c>
      <c r="E446" t="str">
        <f t="shared" si="98"/>
        <v>Rivera</v>
      </c>
      <c r="F446" t="str">
        <f t="shared" si="99"/>
        <v>DEREKRIVERA</v>
      </c>
      <c r="G446" t="str">
        <f t="shared" si="100"/>
        <v>DEREKRIVERA</v>
      </c>
      <c r="H446" t="str">
        <f t="shared" si="101"/>
        <v>DER RIVERA</v>
      </c>
      <c r="I446" t="str">
        <f t="shared" si="102"/>
        <v>DER.R</v>
      </c>
      <c r="J446" t="s">
        <v>42</v>
      </c>
      <c r="K446" t="s">
        <v>2855</v>
      </c>
      <c r="L446" t="s">
        <v>2856</v>
      </c>
      <c r="M446" t="s">
        <v>897</v>
      </c>
      <c r="N446">
        <v>67487</v>
      </c>
      <c r="O446" t="str">
        <f t="shared" si="103"/>
        <v>67487</v>
      </c>
      <c r="P446" t="str">
        <f t="shared" si="96"/>
        <v>2513 Maloy Court, Wakefield, KS, 67487</v>
      </c>
      <c r="Q446" t="s">
        <v>2857</v>
      </c>
      <c r="R446" t="str">
        <f t="shared" si="104"/>
        <v>DerekLRivera</v>
      </c>
      <c r="S446" t="str">
        <f t="shared" si="105"/>
        <v>hotmail.com</v>
      </c>
      <c r="T446" t="str">
        <f t="shared" si="106"/>
        <v>hotmail</v>
      </c>
      <c r="U446" t="str">
        <f t="shared" si="107"/>
        <v>DerekLRivera</v>
      </c>
      <c r="V446" t="s">
        <v>2858</v>
      </c>
      <c r="W446" t="str">
        <f t="shared" si="108"/>
        <v>785-</v>
      </c>
      <c r="X446" t="str">
        <f t="shared" si="109"/>
        <v>461</v>
      </c>
      <c r="Y446" t="str">
        <f t="shared" si="110"/>
        <v>-6037</v>
      </c>
      <c r="Z446" t="str">
        <f>SUBSTITUTE(V446,"-","|",2)</f>
        <v>785-461|6037</v>
      </c>
      <c r="AA446" t="str">
        <f>LEFT(V446,3)</f>
        <v>785</v>
      </c>
      <c r="AB446" t="str">
        <f>MID(V446,5,3)</f>
        <v>461</v>
      </c>
      <c r="AC446" t="str">
        <f>RIGHT(V446,4)</f>
        <v>6037</v>
      </c>
      <c r="AD446" s="3" t="s">
        <v>2859</v>
      </c>
      <c r="AE446" s="3" t="str">
        <f t="shared" si="111"/>
        <v>014</v>
      </c>
    </row>
    <row r="447" spans="1:31">
      <c r="A447" t="s">
        <v>49</v>
      </c>
      <c r="B447" t="str">
        <f t="shared" si="97"/>
        <v>Susan</v>
      </c>
      <c r="C447" t="s">
        <v>213</v>
      </c>
      <c r="D447" t="s">
        <v>2860</v>
      </c>
      <c r="E447" t="str">
        <f t="shared" si="98"/>
        <v>Boling</v>
      </c>
      <c r="F447" t="str">
        <f t="shared" si="99"/>
        <v>SUSANBOLING</v>
      </c>
      <c r="G447" t="str">
        <f t="shared" si="100"/>
        <v>SUSANBOLING</v>
      </c>
      <c r="H447" t="str">
        <f t="shared" si="101"/>
        <v>SUS BOLING</v>
      </c>
      <c r="I447" t="str">
        <f t="shared" si="102"/>
        <v>SUS.B</v>
      </c>
      <c r="J447" t="s">
        <v>32</v>
      </c>
      <c r="K447" t="s">
        <v>2861</v>
      </c>
      <c r="L447" t="s">
        <v>2862</v>
      </c>
      <c r="M447" t="s">
        <v>45</v>
      </c>
      <c r="N447">
        <v>92664</v>
      </c>
      <c r="O447" t="str">
        <f t="shared" si="103"/>
        <v>92664</v>
      </c>
      <c r="P447" t="str">
        <f t="shared" si="96"/>
        <v>1423 Hillcrest Lane, Irvine, CA, 92664</v>
      </c>
      <c r="Q447" t="s">
        <v>2863</v>
      </c>
      <c r="R447" t="str">
        <f t="shared" si="104"/>
        <v>SusanABoling</v>
      </c>
      <c r="S447" t="str">
        <f t="shared" si="105"/>
        <v>hotmail.com</v>
      </c>
      <c r="T447" t="str">
        <f t="shared" si="106"/>
        <v>hotmail</v>
      </c>
      <c r="U447" t="str">
        <f t="shared" si="107"/>
        <v>SusanABoling</v>
      </c>
      <c r="V447" t="s">
        <v>2864</v>
      </c>
      <c r="W447" t="str">
        <f t="shared" si="108"/>
        <v>949-</v>
      </c>
      <c r="X447" t="str">
        <f t="shared" si="109"/>
        <v>929</v>
      </c>
      <c r="Y447" t="str">
        <f t="shared" si="110"/>
        <v>-5020</v>
      </c>
      <c r="Z447" t="str">
        <f>SUBSTITUTE(V447,"-","|",2)</f>
        <v>949-929|5020</v>
      </c>
      <c r="AA447" t="str">
        <f>LEFT(V447,3)</f>
        <v>949</v>
      </c>
      <c r="AB447" t="str">
        <f>MID(V447,5,3)</f>
        <v>929</v>
      </c>
      <c r="AC447" t="str">
        <f>RIGHT(V447,4)</f>
        <v>5020</v>
      </c>
      <c r="AD447" s="3" t="s">
        <v>2865</v>
      </c>
      <c r="AE447" s="3" t="str">
        <f t="shared" si="111"/>
        <v>594</v>
      </c>
    </row>
    <row r="448" spans="1:31">
      <c r="A448" t="s">
        <v>1206</v>
      </c>
      <c r="B448" t="str">
        <f t="shared" si="97"/>
        <v>Kathy</v>
      </c>
      <c r="C448" t="s">
        <v>30</v>
      </c>
      <c r="D448" t="s">
        <v>2866</v>
      </c>
      <c r="E448" t="str">
        <f t="shared" si="98"/>
        <v>Bazan</v>
      </c>
      <c r="F448" t="str">
        <f t="shared" si="99"/>
        <v>KATHYBAZAN</v>
      </c>
      <c r="G448" t="str">
        <f t="shared" si="100"/>
        <v>KATHYBAZAN</v>
      </c>
      <c r="H448" t="str">
        <f t="shared" si="101"/>
        <v>KAT BAZAN</v>
      </c>
      <c r="I448" t="str">
        <f t="shared" si="102"/>
        <v>KAT.B</v>
      </c>
      <c r="J448" t="s">
        <v>32</v>
      </c>
      <c r="K448" t="s">
        <v>2867</v>
      </c>
      <c r="L448" t="s">
        <v>2868</v>
      </c>
      <c r="M448" t="s">
        <v>516</v>
      </c>
      <c r="N448">
        <v>47906</v>
      </c>
      <c r="O448" t="str">
        <f t="shared" si="103"/>
        <v>47906</v>
      </c>
      <c r="P448" t="str">
        <f t="shared" si="96"/>
        <v>1668 Winifred Way, Lafayette, IN, 47906</v>
      </c>
      <c r="Q448" t="s">
        <v>2869</v>
      </c>
      <c r="R448" t="str">
        <f t="shared" si="104"/>
        <v>KathyJBazan</v>
      </c>
      <c r="S448" t="str">
        <f t="shared" si="105"/>
        <v>gmail.com</v>
      </c>
      <c r="T448" t="str">
        <f t="shared" si="106"/>
        <v>gmail</v>
      </c>
      <c r="U448" t="str">
        <f t="shared" si="107"/>
        <v>KathyJBazan</v>
      </c>
      <c r="V448" t="s">
        <v>2870</v>
      </c>
      <c r="W448" t="str">
        <f t="shared" si="108"/>
        <v>765-</v>
      </c>
      <c r="X448" t="str">
        <f t="shared" si="109"/>
        <v>746</v>
      </c>
      <c r="Y448" t="str">
        <f t="shared" si="110"/>
        <v>-0191</v>
      </c>
      <c r="Z448" t="str">
        <f>SUBSTITUTE(V448,"-","|",2)</f>
        <v>765-746|0191</v>
      </c>
      <c r="AA448" t="str">
        <f>LEFT(V448,3)</f>
        <v>765</v>
      </c>
      <c r="AB448" t="str">
        <f>MID(V448,5,3)</f>
        <v>746</v>
      </c>
      <c r="AC448" t="str">
        <f>RIGHT(V448,4)</f>
        <v>0191</v>
      </c>
      <c r="AD448" s="3" t="s">
        <v>2871</v>
      </c>
      <c r="AE448" s="3" t="str">
        <f t="shared" si="111"/>
        <v>8075</v>
      </c>
    </row>
    <row r="449" spans="1:31">
      <c r="A449" t="s">
        <v>2872</v>
      </c>
      <c r="B449" t="str">
        <f t="shared" si="97"/>
        <v>Tara</v>
      </c>
      <c r="C449" t="s">
        <v>297</v>
      </c>
      <c r="D449" t="s">
        <v>2873</v>
      </c>
      <c r="E449" t="str">
        <f t="shared" si="98"/>
        <v>Emberton</v>
      </c>
      <c r="F449" t="str">
        <f t="shared" si="99"/>
        <v>TARAEMBERTON</v>
      </c>
      <c r="G449" t="str">
        <f t="shared" si="100"/>
        <v>TARAEMBERTON</v>
      </c>
      <c r="H449" t="str">
        <f t="shared" si="101"/>
        <v>TAR EMBERTON</v>
      </c>
      <c r="I449" t="str">
        <f t="shared" si="102"/>
        <v>TAR.E</v>
      </c>
      <c r="J449" t="s">
        <v>32</v>
      </c>
      <c r="K449" t="s">
        <v>2874</v>
      </c>
      <c r="L449" t="s">
        <v>2875</v>
      </c>
      <c r="M449" t="s">
        <v>88</v>
      </c>
      <c r="N449">
        <v>79536</v>
      </c>
      <c r="O449" t="str">
        <f t="shared" si="103"/>
        <v>79536</v>
      </c>
      <c r="P449" t="str">
        <f t="shared" si="96"/>
        <v>3032 Anthony Avenue, Nubia, TX, 79536</v>
      </c>
      <c r="Q449" t="s">
        <v>2876</v>
      </c>
      <c r="R449" t="str">
        <f t="shared" si="104"/>
        <v>TaraTEmberton</v>
      </c>
      <c r="S449" t="str">
        <f t="shared" si="105"/>
        <v>gmail.com</v>
      </c>
      <c r="T449" t="str">
        <f t="shared" si="106"/>
        <v>gmail</v>
      </c>
      <c r="U449" t="str">
        <f t="shared" si="107"/>
        <v>TaraTEmberton</v>
      </c>
      <c r="V449" t="s">
        <v>2877</v>
      </c>
      <c r="W449" t="str">
        <f t="shared" si="108"/>
        <v>325-</v>
      </c>
      <c r="X449" t="str">
        <f t="shared" si="109"/>
        <v>846</v>
      </c>
      <c r="Y449" t="str">
        <f t="shared" si="110"/>
        <v>-3787</v>
      </c>
      <c r="Z449" t="str">
        <f>SUBSTITUTE(V449,"-","|",2)</f>
        <v>325-846|3787</v>
      </c>
      <c r="AA449" t="str">
        <f>LEFT(V449,3)</f>
        <v>325</v>
      </c>
      <c r="AB449" t="str">
        <f>MID(V449,5,3)</f>
        <v>846</v>
      </c>
      <c r="AC449" t="str">
        <f>RIGHT(V449,4)</f>
        <v>3787</v>
      </c>
      <c r="AD449" s="3" t="s">
        <v>2878</v>
      </c>
      <c r="AE449" s="3" t="str">
        <f t="shared" si="111"/>
        <v>3622</v>
      </c>
    </row>
    <row r="450" spans="1:31">
      <c r="A450" t="s">
        <v>2879</v>
      </c>
      <c r="B450" t="str">
        <f t="shared" si="97"/>
        <v>Earl</v>
      </c>
      <c r="C450" t="s">
        <v>58</v>
      </c>
      <c r="D450" t="s">
        <v>2880</v>
      </c>
      <c r="E450" t="str">
        <f t="shared" si="98"/>
        <v>Aguirre</v>
      </c>
      <c r="F450" t="str">
        <f t="shared" si="99"/>
        <v>EARLAGUIRRE</v>
      </c>
      <c r="G450" t="str">
        <f t="shared" si="100"/>
        <v>EARLAGUIRRE</v>
      </c>
      <c r="H450" t="str">
        <f t="shared" si="101"/>
        <v>EAR AGUIRRE</v>
      </c>
      <c r="I450" t="str">
        <f t="shared" si="102"/>
        <v>EAR.A</v>
      </c>
      <c r="J450" t="s">
        <v>42</v>
      </c>
      <c r="K450" t="s">
        <v>2881</v>
      </c>
      <c r="L450" t="s">
        <v>433</v>
      </c>
      <c r="M450" t="s">
        <v>177</v>
      </c>
      <c r="N450">
        <v>37201</v>
      </c>
      <c r="O450" t="str">
        <f t="shared" si="103"/>
        <v>37201</v>
      </c>
      <c r="P450" t="str">
        <f t="shared" ref="P450:P501" si="112">K450&amp;", "&amp;L450&amp;", "&amp;M450&amp;", "&amp;N450</f>
        <v>3747 McDowell Street, Nashville, TN, 37201</v>
      </c>
      <c r="Q450" t="s">
        <v>2882</v>
      </c>
      <c r="R450" t="str">
        <f t="shared" si="104"/>
        <v>EarlMAguirre</v>
      </c>
      <c r="S450" t="str">
        <f t="shared" si="105"/>
        <v>hotmail.com</v>
      </c>
      <c r="T450" t="str">
        <f t="shared" si="106"/>
        <v>hotmail</v>
      </c>
      <c r="U450" t="str">
        <f t="shared" si="107"/>
        <v>EarlMAguirre</v>
      </c>
      <c r="V450" t="s">
        <v>2883</v>
      </c>
      <c r="W450" t="str">
        <f t="shared" si="108"/>
        <v>931-</v>
      </c>
      <c r="X450" t="str">
        <f t="shared" si="109"/>
        <v>416</v>
      </c>
      <c r="Y450" t="str">
        <f t="shared" si="110"/>
        <v>-4171</v>
      </c>
      <c r="Z450" t="str">
        <f>SUBSTITUTE(V450,"-","|",2)</f>
        <v>931-416|4171</v>
      </c>
      <c r="AA450" t="str">
        <f>LEFT(V450,3)</f>
        <v>931</v>
      </c>
      <c r="AB450" t="str">
        <f>MID(V450,5,3)</f>
        <v>416</v>
      </c>
      <c r="AC450" t="str">
        <f>RIGHT(V450,4)</f>
        <v>4171</v>
      </c>
      <c r="AD450" s="3" t="s">
        <v>2884</v>
      </c>
      <c r="AE450" s="3" t="str">
        <f t="shared" si="111"/>
        <v>4076</v>
      </c>
    </row>
    <row r="451" spans="1:31">
      <c r="A451" t="s">
        <v>2885</v>
      </c>
      <c r="B451" t="str">
        <f t="shared" ref="B451:B501" si="113">TRIM(PROPER(A451))</f>
        <v>Clarence</v>
      </c>
      <c r="C451" t="s">
        <v>213</v>
      </c>
      <c r="D451" t="s">
        <v>75</v>
      </c>
      <c r="E451" t="str">
        <f t="shared" ref="E451:E501" si="114">TRIM(PROPER(D451))</f>
        <v>Joseph</v>
      </c>
      <c r="F451" t="str">
        <f t="shared" ref="F451:F501" si="115">A451&amp;""&amp;D451</f>
        <v>CLARENCEJOSEPH</v>
      </c>
      <c r="G451" t="str">
        <f t="shared" ref="G451:G501" si="116">CONCATENATE(A451,D451)</f>
        <v>CLARENCEJOSEPH</v>
      </c>
      <c r="H451" t="str">
        <f t="shared" ref="H451:H501" si="117">LEFT(A451,3)&amp;" "&amp;D451</f>
        <v>CLA JOSEPH</v>
      </c>
      <c r="I451" t="str">
        <f t="shared" ref="I451:I501" si="118">LEFT(A451,3)&amp;"."&amp;LEFT(D451,1)</f>
        <v>CLA.J</v>
      </c>
      <c r="J451" t="s">
        <v>42</v>
      </c>
      <c r="K451" t="s">
        <v>2886</v>
      </c>
      <c r="L451" t="s">
        <v>185</v>
      </c>
      <c r="M451" t="s">
        <v>35</v>
      </c>
      <c r="N451">
        <v>60601</v>
      </c>
      <c r="O451" t="str">
        <f t="shared" ref="O451:O501" si="119">IF(LEN(N451)=5,TEXT(N451,"#####"),IF(LEN(N451)=4,TEXT(N451,"0####")))</f>
        <v>60601</v>
      </c>
      <c r="P451" t="str">
        <f t="shared" si="112"/>
        <v>2276 Lowland Drive, Chicago, IL, 60601</v>
      </c>
      <c r="Q451" t="s">
        <v>2887</v>
      </c>
      <c r="R451" t="str">
        <f t="shared" ref="R451:R501" si="120">LEFT(Q451,SEARCH("@",Q451)-1)</f>
        <v>ClarenceAJoseph</v>
      </c>
      <c r="S451" t="str">
        <f t="shared" ref="S451:S501" si="121">RIGHT(Q451,LEN(Q451)-SEARCH("@",Q451))</f>
        <v>gmail.com</v>
      </c>
      <c r="T451" t="str">
        <f t="shared" ref="T451:T501" si="122">IF(ISNUMBER(SEARCH("gmail",Q451)),"gmail",IF(ISNUMBER(SEARCH("aol",Q451)),"aol",IF(ISNUMBER(SEARCH("hotmail",Q451)),"hotmail","other")))</f>
        <v>gmail</v>
      </c>
      <c r="U451" t="str">
        <f t="shared" ref="U451:U501" si="123">LEFT(Q451,SEARCH("@",Q451)-1)</f>
        <v>ClarenceAJoseph</v>
      </c>
      <c r="V451" t="s">
        <v>2888</v>
      </c>
      <c r="W451" t="str">
        <f t="shared" ref="W451:W501" si="124">LEFT(V451,4)</f>
        <v>815-</v>
      </c>
      <c r="X451" t="str">
        <f t="shared" ref="X451:X501" si="125">MID(V451,5,3)</f>
        <v>371</v>
      </c>
      <c r="Y451" t="str">
        <f t="shared" ref="Y451:Y501" si="126">RIGHT(V451,5)</f>
        <v>-6613</v>
      </c>
      <c r="Z451" t="str">
        <f>SUBSTITUTE(V451,"-","|",2)</f>
        <v>815-371|6613</v>
      </c>
      <c r="AA451" t="str">
        <f>LEFT(V451,3)</f>
        <v>815</v>
      </c>
      <c r="AB451" t="str">
        <f>MID(V451,5,3)</f>
        <v>371</v>
      </c>
      <c r="AC451" t="str">
        <f>RIGHT(V451,4)</f>
        <v>6613</v>
      </c>
      <c r="AD451" s="3" t="s">
        <v>2889</v>
      </c>
      <c r="AE451" s="3" t="str">
        <f t="shared" ref="AE451:AE501" si="127">RIGHT(AD451,LEN(AD451)-SEARCH("-",AD451))</f>
        <v>680</v>
      </c>
    </row>
    <row r="452" spans="1:31">
      <c r="A452" t="s">
        <v>2890</v>
      </c>
      <c r="B452" t="str">
        <f t="shared" si="113"/>
        <v>Teddy</v>
      </c>
      <c r="C452" t="s">
        <v>261</v>
      </c>
      <c r="D452" t="s">
        <v>2891</v>
      </c>
      <c r="E452" t="str">
        <f t="shared" si="114"/>
        <v>Dishman</v>
      </c>
      <c r="F452" t="str">
        <f t="shared" si="115"/>
        <v>TEDDYDISHMAN</v>
      </c>
      <c r="G452" t="str">
        <f t="shared" si="116"/>
        <v>TEDDYDISHMAN</v>
      </c>
      <c r="H452" t="str">
        <f t="shared" si="117"/>
        <v>TED DISHMAN</v>
      </c>
      <c r="I452" t="str">
        <f t="shared" si="118"/>
        <v>TED.D</v>
      </c>
      <c r="J452" t="s">
        <v>42</v>
      </c>
      <c r="K452" t="s">
        <v>2892</v>
      </c>
      <c r="L452" t="s">
        <v>2893</v>
      </c>
      <c r="M452" t="s">
        <v>88</v>
      </c>
      <c r="N452">
        <v>77478</v>
      </c>
      <c r="O452" t="str">
        <f t="shared" si="119"/>
        <v>77478</v>
      </c>
      <c r="P452" t="str">
        <f t="shared" si="112"/>
        <v>287 Margaret Street, Sugar Land, TX, 77478</v>
      </c>
      <c r="Q452" t="s">
        <v>2894</v>
      </c>
      <c r="R452" t="str">
        <f t="shared" si="120"/>
        <v>TeddyWDishman</v>
      </c>
      <c r="S452" t="str">
        <f t="shared" si="121"/>
        <v>aol.com</v>
      </c>
      <c r="T452" t="str">
        <f t="shared" si="122"/>
        <v>aol</v>
      </c>
      <c r="U452" t="str">
        <f t="shared" si="123"/>
        <v>TeddyWDishman</v>
      </c>
      <c r="V452" t="s">
        <v>2895</v>
      </c>
      <c r="W452" t="str">
        <f t="shared" si="124"/>
        <v>713-</v>
      </c>
      <c r="X452" t="str">
        <f t="shared" si="125"/>
        <v>902</v>
      </c>
      <c r="Y452" t="str">
        <f t="shared" si="126"/>
        <v>-5769</v>
      </c>
      <c r="Z452" t="str">
        <f>SUBSTITUTE(V452,"-","|",2)</f>
        <v>713-902|5769</v>
      </c>
      <c r="AA452" t="str">
        <f>LEFT(V452,3)</f>
        <v>713</v>
      </c>
      <c r="AB452" t="str">
        <f>MID(V452,5,3)</f>
        <v>902</v>
      </c>
      <c r="AC452" t="str">
        <f>RIGHT(V452,4)</f>
        <v>5769</v>
      </c>
      <c r="AD452" s="3" t="s">
        <v>2896</v>
      </c>
      <c r="AE452" s="3" t="str">
        <f t="shared" si="127"/>
        <v>9353</v>
      </c>
    </row>
    <row r="453" spans="1:31">
      <c r="A453" t="s">
        <v>2033</v>
      </c>
      <c r="B453" t="str">
        <f t="shared" si="113"/>
        <v>Juan</v>
      </c>
      <c r="C453" t="s">
        <v>365</v>
      </c>
      <c r="D453" t="s">
        <v>2897</v>
      </c>
      <c r="E453" t="str">
        <f t="shared" si="114"/>
        <v>Jacobsen</v>
      </c>
      <c r="F453" t="str">
        <f t="shared" si="115"/>
        <v>JUANJACOBSEN</v>
      </c>
      <c r="G453" t="str">
        <f t="shared" si="116"/>
        <v>JUANJACOBSEN</v>
      </c>
      <c r="H453" t="str">
        <f t="shared" si="117"/>
        <v>JUA JACOBSEN</v>
      </c>
      <c r="I453" t="str">
        <f t="shared" si="118"/>
        <v>JUA.J</v>
      </c>
      <c r="J453" t="s">
        <v>42</v>
      </c>
      <c r="K453" t="s">
        <v>2898</v>
      </c>
      <c r="L453" t="s">
        <v>273</v>
      </c>
      <c r="M453" t="s">
        <v>256</v>
      </c>
      <c r="N453">
        <v>28202</v>
      </c>
      <c r="O453" t="str">
        <f t="shared" si="119"/>
        <v>28202</v>
      </c>
      <c r="P453" t="str">
        <f t="shared" si="112"/>
        <v>527 Kelly Street, Charlotte, NC, 28202</v>
      </c>
      <c r="Q453" t="s">
        <v>2899</v>
      </c>
      <c r="R453" t="str">
        <f t="shared" si="120"/>
        <v>JuanGJacobsen</v>
      </c>
      <c r="S453" t="str">
        <f t="shared" si="121"/>
        <v>gmail.com</v>
      </c>
      <c r="T453" t="str">
        <f t="shared" si="122"/>
        <v>gmail</v>
      </c>
      <c r="U453" t="str">
        <f t="shared" si="123"/>
        <v>JuanGJacobsen</v>
      </c>
      <c r="V453" t="s">
        <v>2900</v>
      </c>
      <c r="W453" t="str">
        <f t="shared" si="124"/>
        <v>704-</v>
      </c>
      <c r="X453" t="str">
        <f t="shared" si="125"/>
        <v>908</v>
      </c>
      <c r="Y453" t="str">
        <f t="shared" si="126"/>
        <v>-1546</v>
      </c>
      <c r="Z453" t="str">
        <f>SUBSTITUTE(V453,"-","|",2)</f>
        <v>704-908|1546</v>
      </c>
      <c r="AA453" t="str">
        <f>LEFT(V453,3)</f>
        <v>704</v>
      </c>
      <c r="AB453" t="str">
        <f>MID(V453,5,3)</f>
        <v>908</v>
      </c>
      <c r="AC453" t="str">
        <f>RIGHT(V453,4)</f>
        <v>1546</v>
      </c>
      <c r="AD453" s="3" t="s">
        <v>2901</v>
      </c>
      <c r="AE453" s="3" t="str">
        <f t="shared" si="127"/>
        <v>3941</v>
      </c>
    </row>
    <row r="454" spans="1:31">
      <c r="A454" t="s">
        <v>189</v>
      </c>
      <c r="B454" t="str">
        <f t="shared" si="113"/>
        <v>James</v>
      </c>
      <c r="C454" t="s">
        <v>30</v>
      </c>
      <c r="D454" t="s">
        <v>2902</v>
      </c>
      <c r="E454" t="str">
        <f t="shared" si="114"/>
        <v>Yu</v>
      </c>
      <c r="F454" t="str">
        <f t="shared" si="115"/>
        <v>JAMESYU</v>
      </c>
      <c r="G454" t="str">
        <f t="shared" si="116"/>
        <v>JAMESYU</v>
      </c>
      <c r="H454" t="str">
        <f t="shared" si="117"/>
        <v>JAM YU</v>
      </c>
      <c r="I454" t="str">
        <f t="shared" si="118"/>
        <v>JAM.Y</v>
      </c>
      <c r="J454" t="s">
        <v>42</v>
      </c>
      <c r="K454" t="s">
        <v>2903</v>
      </c>
      <c r="L454" t="s">
        <v>246</v>
      </c>
      <c r="M454" t="s">
        <v>247</v>
      </c>
      <c r="N454">
        <v>30338</v>
      </c>
      <c r="O454" t="str">
        <f t="shared" si="119"/>
        <v>30338</v>
      </c>
      <c r="P454" t="str">
        <f t="shared" si="112"/>
        <v>2237 Elk Creek Road, Dunwoody, GA, 30338</v>
      </c>
      <c r="Q454" t="s">
        <v>2904</v>
      </c>
      <c r="R454" t="str">
        <f t="shared" si="120"/>
        <v>JamesJYu</v>
      </c>
      <c r="S454" t="str">
        <f t="shared" si="121"/>
        <v>aol.com</v>
      </c>
      <c r="T454" t="str">
        <f t="shared" si="122"/>
        <v>aol</v>
      </c>
      <c r="U454" t="str">
        <f t="shared" si="123"/>
        <v>JamesJYu</v>
      </c>
      <c r="V454" t="s">
        <v>2905</v>
      </c>
      <c r="W454" t="str">
        <f t="shared" si="124"/>
        <v>770-</v>
      </c>
      <c r="X454" t="str">
        <f t="shared" si="125"/>
        <v>522</v>
      </c>
      <c r="Y454" t="str">
        <f t="shared" si="126"/>
        <v>-3655</v>
      </c>
      <c r="Z454" t="str">
        <f>SUBSTITUTE(V454,"-","|",2)</f>
        <v>770-522|3655</v>
      </c>
      <c r="AA454" t="str">
        <f>LEFT(V454,3)</f>
        <v>770</v>
      </c>
      <c r="AB454" t="str">
        <f>MID(V454,5,3)</f>
        <v>522</v>
      </c>
      <c r="AC454" t="str">
        <f>RIGHT(V454,4)</f>
        <v>3655</v>
      </c>
      <c r="AD454" s="3" t="s">
        <v>2906</v>
      </c>
      <c r="AE454" s="3" t="str">
        <f t="shared" si="127"/>
        <v>480</v>
      </c>
    </row>
    <row r="455" spans="1:31">
      <c r="A455" t="s">
        <v>821</v>
      </c>
      <c r="B455" t="str">
        <f t="shared" si="113"/>
        <v>Charles</v>
      </c>
      <c r="C455" t="s">
        <v>132</v>
      </c>
      <c r="D455" t="s">
        <v>2134</v>
      </c>
      <c r="E455" t="str">
        <f t="shared" si="114"/>
        <v>Marshall</v>
      </c>
      <c r="F455" t="str">
        <f t="shared" si="115"/>
        <v>CHARLESMARSHALL</v>
      </c>
      <c r="G455" t="str">
        <f t="shared" si="116"/>
        <v>CHARLESMARSHALL</v>
      </c>
      <c r="H455" t="str">
        <f t="shared" si="117"/>
        <v>CHA MARSHALL</v>
      </c>
      <c r="I455" t="str">
        <f t="shared" si="118"/>
        <v>CHA.M</v>
      </c>
      <c r="J455" t="s">
        <v>42</v>
      </c>
      <c r="K455" t="s">
        <v>2907</v>
      </c>
      <c r="L455" t="s">
        <v>232</v>
      </c>
      <c r="M455" t="s">
        <v>45</v>
      </c>
      <c r="N455">
        <v>90071</v>
      </c>
      <c r="O455" t="str">
        <f t="shared" si="119"/>
        <v>90071</v>
      </c>
      <c r="P455" t="str">
        <f t="shared" si="112"/>
        <v>12 Canis Heights Drive, Los Angeles, CA, 90071</v>
      </c>
      <c r="Q455" t="s">
        <v>2908</v>
      </c>
      <c r="R455" t="str">
        <f t="shared" si="120"/>
        <v>CharlesRMarshall</v>
      </c>
      <c r="S455" t="str">
        <f t="shared" si="121"/>
        <v>hotmail.com</v>
      </c>
      <c r="T455" t="str">
        <f t="shared" si="122"/>
        <v>hotmail</v>
      </c>
      <c r="U455" t="str">
        <f t="shared" si="123"/>
        <v>CharlesRMarshall</v>
      </c>
      <c r="V455" t="s">
        <v>2909</v>
      </c>
      <c r="W455" t="str">
        <f t="shared" si="124"/>
        <v>213-</v>
      </c>
      <c r="X455" t="str">
        <f t="shared" si="125"/>
        <v>617</v>
      </c>
      <c r="Y455" t="str">
        <f t="shared" si="126"/>
        <v>-3930</v>
      </c>
      <c r="Z455" t="str">
        <f>SUBSTITUTE(V455,"-","|",2)</f>
        <v>213-617|3930</v>
      </c>
      <c r="AA455" t="str">
        <f>LEFT(V455,3)</f>
        <v>213</v>
      </c>
      <c r="AB455" t="str">
        <f>MID(V455,5,3)</f>
        <v>617</v>
      </c>
      <c r="AC455" t="str">
        <f>RIGHT(V455,4)</f>
        <v>3930</v>
      </c>
      <c r="AD455" s="3" t="s">
        <v>2039</v>
      </c>
      <c r="AE455" s="3" t="str">
        <f t="shared" si="127"/>
        <v>4081</v>
      </c>
    </row>
    <row r="456" spans="1:31">
      <c r="A456" t="s">
        <v>2910</v>
      </c>
      <c r="B456" t="str">
        <f t="shared" si="113"/>
        <v>Donald</v>
      </c>
      <c r="C456" t="s">
        <v>343</v>
      </c>
      <c r="D456" t="s">
        <v>1302</v>
      </c>
      <c r="E456" t="str">
        <f t="shared" si="114"/>
        <v>Murray</v>
      </c>
      <c r="F456" t="str">
        <f t="shared" si="115"/>
        <v>DONALDMURRAY</v>
      </c>
      <c r="G456" t="str">
        <f t="shared" si="116"/>
        <v>DONALDMURRAY</v>
      </c>
      <c r="H456" t="str">
        <f t="shared" si="117"/>
        <v>DON MURRAY</v>
      </c>
      <c r="I456" t="str">
        <f t="shared" si="118"/>
        <v>DON.M</v>
      </c>
      <c r="J456" t="s">
        <v>42</v>
      </c>
      <c r="K456" t="s">
        <v>2911</v>
      </c>
      <c r="L456" t="s">
        <v>2912</v>
      </c>
      <c r="M456" t="s">
        <v>88</v>
      </c>
      <c r="N456">
        <v>75039</v>
      </c>
      <c r="O456" t="str">
        <f t="shared" si="119"/>
        <v>75039</v>
      </c>
      <c r="P456" t="str">
        <f t="shared" si="112"/>
        <v>1429 Ash Street, Irving, TX, 75039</v>
      </c>
      <c r="Q456" t="s">
        <v>2913</v>
      </c>
      <c r="R456" t="str">
        <f t="shared" si="120"/>
        <v>DonaldLMurray</v>
      </c>
      <c r="S456" t="str">
        <f t="shared" si="121"/>
        <v>hotmail.com</v>
      </c>
      <c r="T456" t="str">
        <f t="shared" si="122"/>
        <v>hotmail</v>
      </c>
      <c r="U456" t="str">
        <f t="shared" si="123"/>
        <v>DonaldLMurray</v>
      </c>
      <c r="V456" t="s">
        <v>2914</v>
      </c>
      <c r="W456" t="str">
        <f t="shared" si="124"/>
        <v>972-</v>
      </c>
      <c r="X456" t="str">
        <f t="shared" si="125"/>
        <v>871</v>
      </c>
      <c r="Y456" t="str">
        <f t="shared" si="126"/>
        <v>-3664</v>
      </c>
      <c r="Z456" t="str">
        <f>SUBSTITUTE(V456,"-","|",2)</f>
        <v>972-871|3664</v>
      </c>
      <c r="AA456" t="str">
        <f>LEFT(V456,3)</f>
        <v>972</v>
      </c>
      <c r="AB456" t="str">
        <f>MID(V456,5,3)</f>
        <v>871</v>
      </c>
      <c r="AC456" t="str">
        <f>RIGHT(V456,4)</f>
        <v>3664</v>
      </c>
      <c r="AD456" s="3" t="s">
        <v>2915</v>
      </c>
      <c r="AE456" s="3" t="str">
        <f t="shared" si="127"/>
        <v>025</v>
      </c>
    </row>
    <row r="457" spans="1:31">
      <c r="A457" t="s">
        <v>2916</v>
      </c>
      <c r="B457" t="str">
        <f t="shared" si="113"/>
        <v>Jesusa</v>
      </c>
      <c r="C457" t="s">
        <v>124</v>
      </c>
      <c r="D457" t="s">
        <v>2917</v>
      </c>
      <c r="E457" t="str">
        <f t="shared" si="114"/>
        <v>Larsen</v>
      </c>
      <c r="F457" t="str">
        <f t="shared" si="115"/>
        <v>JESUSALARSEN</v>
      </c>
      <c r="G457" t="str">
        <f t="shared" si="116"/>
        <v>JESUSALARSEN</v>
      </c>
      <c r="H457" t="str">
        <f t="shared" si="117"/>
        <v>JES LARSEN</v>
      </c>
      <c r="I457" t="str">
        <f t="shared" si="118"/>
        <v>JES.L</v>
      </c>
      <c r="J457" t="s">
        <v>32</v>
      </c>
      <c r="K457" t="s">
        <v>2918</v>
      </c>
      <c r="L457" t="s">
        <v>2919</v>
      </c>
      <c r="M457" t="s">
        <v>301</v>
      </c>
      <c r="N457">
        <v>43044</v>
      </c>
      <c r="O457" t="str">
        <f t="shared" si="119"/>
        <v>43044</v>
      </c>
      <c r="P457" t="str">
        <f t="shared" si="112"/>
        <v>2252 Crim Lane, Mechanicsburg, OH, 43044</v>
      </c>
      <c r="Q457" t="s">
        <v>2920</v>
      </c>
      <c r="R457" t="str">
        <f t="shared" si="120"/>
        <v>JesusaFLarsen</v>
      </c>
      <c r="S457" t="str">
        <f t="shared" si="121"/>
        <v>gmail.com</v>
      </c>
      <c r="T457" t="str">
        <f t="shared" si="122"/>
        <v>gmail</v>
      </c>
      <c r="U457" t="str">
        <f t="shared" si="123"/>
        <v>JesusaFLarsen</v>
      </c>
      <c r="V457" t="s">
        <v>2921</v>
      </c>
      <c r="W457" t="str">
        <f t="shared" si="124"/>
        <v>937-</v>
      </c>
      <c r="X457" t="str">
        <f t="shared" si="125"/>
        <v>834</v>
      </c>
      <c r="Y457" t="str">
        <f t="shared" si="126"/>
        <v>-6456</v>
      </c>
      <c r="Z457" t="str">
        <f>SUBSTITUTE(V457,"-","|",2)</f>
        <v>937-834|6456</v>
      </c>
      <c r="AA457" t="str">
        <f>LEFT(V457,3)</f>
        <v>937</v>
      </c>
      <c r="AB457" t="str">
        <f>MID(V457,5,3)</f>
        <v>834</v>
      </c>
      <c r="AC457" t="str">
        <f>RIGHT(V457,4)</f>
        <v>6456</v>
      </c>
      <c r="AD457" s="3" t="s">
        <v>2922</v>
      </c>
      <c r="AE457" s="3" t="str">
        <f t="shared" si="127"/>
        <v>7067</v>
      </c>
    </row>
    <row r="458" spans="1:31">
      <c r="A458" t="s">
        <v>2923</v>
      </c>
      <c r="B458" t="str">
        <f t="shared" si="113"/>
        <v>Howard</v>
      </c>
      <c r="C458" t="s">
        <v>30</v>
      </c>
      <c r="D458" t="s">
        <v>2924</v>
      </c>
      <c r="E458" t="str">
        <f t="shared" si="114"/>
        <v>Sykes</v>
      </c>
      <c r="F458" t="str">
        <f t="shared" si="115"/>
        <v>HOWARDSYKES</v>
      </c>
      <c r="G458" t="str">
        <f t="shared" si="116"/>
        <v>HOWARDSYKES</v>
      </c>
      <c r="H458" t="str">
        <f t="shared" si="117"/>
        <v>HOW SYKES</v>
      </c>
      <c r="I458" t="str">
        <f t="shared" si="118"/>
        <v>HOW.S</v>
      </c>
      <c r="J458" t="s">
        <v>42</v>
      </c>
      <c r="K458" t="s">
        <v>2925</v>
      </c>
      <c r="L458" t="s">
        <v>2926</v>
      </c>
      <c r="M458" t="s">
        <v>71</v>
      </c>
      <c r="N458">
        <v>70113</v>
      </c>
      <c r="O458" t="str">
        <f t="shared" si="119"/>
        <v>70113</v>
      </c>
      <c r="P458" t="str">
        <f t="shared" si="112"/>
        <v>3845 Swick Hill Street, New Orleans, LA, 70113</v>
      </c>
      <c r="Q458" t="s">
        <v>2927</v>
      </c>
      <c r="R458" t="str">
        <f t="shared" si="120"/>
        <v>HowardJSykes</v>
      </c>
      <c r="S458" t="str">
        <f t="shared" si="121"/>
        <v>gmail.com</v>
      </c>
      <c r="T458" t="str">
        <f t="shared" si="122"/>
        <v>gmail</v>
      </c>
      <c r="U458" t="str">
        <f t="shared" si="123"/>
        <v>HowardJSykes</v>
      </c>
      <c r="V458" t="s">
        <v>2928</v>
      </c>
      <c r="W458" t="str">
        <f t="shared" si="124"/>
        <v>985-</v>
      </c>
      <c r="X458" t="str">
        <f t="shared" si="125"/>
        <v>255</v>
      </c>
      <c r="Y458" t="str">
        <f t="shared" si="126"/>
        <v>-0725</v>
      </c>
      <c r="Z458" t="str">
        <f>SUBSTITUTE(V458,"-","|",2)</f>
        <v>985-255|0725</v>
      </c>
      <c r="AA458" t="str">
        <f>LEFT(V458,3)</f>
        <v>985</v>
      </c>
      <c r="AB458" t="str">
        <f>MID(V458,5,3)</f>
        <v>255</v>
      </c>
      <c r="AC458" t="str">
        <f>RIGHT(V458,4)</f>
        <v>0725</v>
      </c>
      <c r="AD458" s="3" t="s">
        <v>2929</v>
      </c>
      <c r="AE458" s="3" t="str">
        <f t="shared" si="127"/>
        <v>2096</v>
      </c>
    </row>
    <row r="459" spans="1:31">
      <c r="A459" t="s">
        <v>2930</v>
      </c>
      <c r="B459" t="str">
        <f t="shared" si="113"/>
        <v>Guy</v>
      </c>
      <c r="C459" t="s">
        <v>67</v>
      </c>
      <c r="D459" t="s">
        <v>2931</v>
      </c>
      <c r="E459" t="str">
        <f t="shared" si="114"/>
        <v>Lent</v>
      </c>
      <c r="F459" t="str">
        <f t="shared" si="115"/>
        <v>GUYLENT</v>
      </c>
      <c r="G459" t="str">
        <f t="shared" si="116"/>
        <v>GUYLENT</v>
      </c>
      <c r="H459" t="str">
        <f t="shared" si="117"/>
        <v>GUY LENT</v>
      </c>
      <c r="I459" t="str">
        <f t="shared" si="118"/>
        <v>GUY.L</v>
      </c>
      <c r="J459" t="s">
        <v>42</v>
      </c>
      <c r="K459" t="s">
        <v>2932</v>
      </c>
      <c r="L459" t="s">
        <v>1129</v>
      </c>
      <c r="M459" t="s">
        <v>1130</v>
      </c>
      <c r="N459">
        <v>96816</v>
      </c>
      <c r="O459" t="str">
        <f t="shared" si="119"/>
        <v>96816</v>
      </c>
      <c r="P459" t="str">
        <f t="shared" si="112"/>
        <v>3898 Arron Smith Drive, Honolulu, HI, 96816</v>
      </c>
      <c r="Q459" t="s">
        <v>2933</v>
      </c>
      <c r="R459" t="str">
        <f t="shared" si="120"/>
        <v>GuyDLent</v>
      </c>
      <c r="S459" t="str">
        <f t="shared" si="121"/>
        <v>hotmail.com</v>
      </c>
      <c r="T459" t="str">
        <f t="shared" si="122"/>
        <v>hotmail</v>
      </c>
      <c r="U459" t="str">
        <f t="shared" si="123"/>
        <v>GuyDLent</v>
      </c>
      <c r="V459" t="s">
        <v>2934</v>
      </c>
      <c r="W459" t="str">
        <f t="shared" si="124"/>
        <v>808-</v>
      </c>
      <c r="X459" t="str">
        <f t="shared" si="125"/>
        <v>397</v>
      </c>
      <c r="Y459" t="str">
        <f t="shared" si="126"/>
        <v>-5315</v>
      </c>
      <c r="Z459" t="str">
        <f>SUBSTITUTE(V459,"-","|",2)</f>
        <v>808-397|5315</v>
      </c>
      <c r="AA459" t="str">
        <f>LEFT(V459,3)</f>
        <v>808</v>
      </c>
      <c r="AB459" t="str">
        <f>MID(V459,5,3)</f>
        <v>397</v>
      </c>
      <c r="AC459" t="str">
        <f>RIGHT(V459,4)</f>
        <v>5315</v>
      </c>
      <c r="AD459" s="3" t="s">
        <v>2935</v>
      </c>
      <c r="AE459" s="3" t="str">
        <f t="shared" si="127"/>
        <v>889</v>
      </c>
    </row>
    <row r="460" spans="1:31">
      <c r="A460" t="s">
        <v>66</v>
      </c>
      <c r="B460" t="str">
        <f t="shared" si="113"/>
        <v>John</v>
      </c>
      <c r="C460" t="s">
        <v>40</v>
      </c>
      <c r="D460" t="s">
        <v>2225</v>
      </c>
      <c r="E460" t="str">
        <f t="shared" si="114"/>
        <v>Jacobs</v>
      </c>
      <c r="F460" t="str">
        <f t="shared" si="115"/>
        <v>JOHNJACOBS</v>
      </c>
      <c r="G460" t="str">
        <f t="shared" si="116"/>
        <v>JOHNJACOBS</v>
      </c>
      <c r="H460" t="str">
        <f t="shared" si="117"/>
        <v>JOH JACOBS</v>
      </c>
      <c r="I460" t="str">
        <f t="shared" si="118"/>
        <v>JOH.J</v>
      </c>
      <c r="J460" t="s">
        <v>42</v>
      </c>
      <c r="K460" t="s">
        <v>2936</v>
      </c>
      <c r="L460" t="s">
        <v>2937</v>
      </c>
      <c r="M460" t="s">
        <v>88</v>
      </c>
      <c r="N460">
        <v>76936</v>
      </c>
      <c r="O460" t="str">
        <f t="shared" si="119"/>
        <v>76936</v>
      </c>
      <c r="P460" t="str">
        <f t="shared" si="112"/>
        <v>2270 Anthony Avenue, Eldorado, TX, 76936</v>
      </c>
      <c r="Q460" t="s">
        <v>2938</v>
      </c>
      <c r="R460" t="str">
        <f t="shared" si="120"/>
        <v>JohnSJacobs</v>
      </c>
      <c r="S460" t="str">
        <f t="shared" si="121"/>
        <v>hotmail.com</v>
      </c>
      <c r="T460" t="str">
        <f t="shared" si="122"/>
        <v>hotmail</v>
      </c>
      <c r="U460" t="str">
        <f t="shared" si="123"/>
        <v>JohnSJacobs</v>
      </c>
      <c r="V460" t="s">
        <v>2939</v>
      </c>
      <c r="W460" t="str">
        <f t="shared" si="124"/>
        <v>325-</v>
      </c>
      <c r="X460" t="str">
        <f t="shared" si="125"/>
        <v>853</v>
      </c>
      <c r="Y460" t="str">
        <f t="shared" si="126"/>
        <v>-1929</v>
      </c>
      <c r="Z460" t="str">
        <f>SUBSTITUTE(V460,"-","|",2)</f>
        <v>325-853|1929</v>
      </c>
      <c r="AA460" t="str">
        <f>LEFT(V460,3)</f>
        <v>325</v>
      </c>
      <c r="AB460" t="str">
        <f>MID(V460,5,3)</f>
        <v>853</v>
      </c>
      <c r="AC460" t="str">
        <f>RIGHT(V460,4)</f>
        <v>1929</v>
      </c>
      <c r="AD460" s="3" t="s">
        <v>2940</v>
      </c>
      <c r="AE460" s="3" t="str">
        <f t="shared" si="127"/>
        <v>7560</v>
      </c>
    </row>
    <row r="461" spans="1:31">
      <c r="A461" t="s">
        <v>875</v>
      </c>
      <c r="B461" t="str">
        <f t="shared" si="113"/>
        <v>Linda</v>
      </c>
      <c r="C461" t="s">
        <v>132</v>
      </c>
      <c r="D461" t="s">
        <v>662</v>
      </c>
      <c r="E461" t="str">
        <f t="shared" si="114"/>
        <v>Harris</v>
      </c>
      <c r="F461" t="str">
        <f t="shared" si="115"/>
        <v>LINDAHARRIS</v>
      </c>
      <c r="G461" t="str">
        <f t="shared" si="116"/>
        <v>LINDAHARRIS</v>
      </c>
      <c r="H461" t="str">
        <f t="shared" si="117"/>
        <v>LIN HARRIS</v>
      </c>
      <c r="I461" t="str">
        <f t="shared" si="118"/>
        <v>LIN.H</v>
      </c>
      <c r="J461" t="s">
        <v>32</v>
      </c>
      <c r="K461" t="s">
        <v>2941</v>
      </c>
      <c r="L461" t="s">
        <v>657</v>
      </c>
      <c r="M461" t="s">
        <v>301</v>
      </c>
      <c r="N461">
        <v>44109</v>
      </c>
      <c r="O461" t="str">
        <f t="shared" si="119"/>
        <v>44109</v>
      </c>
      <c r="P461" t="str">
        <f t="shared" si="112"/>
        <v>3620 Sunny Glen Lane, Cleveland, OH, 44109</v>
      </c>
      <c r="Q461" t="s">
        <v>2942</v>
      </c>
      <c r="R461" t="str">
        <f t="shared" si="120"/>
        <v>LindaRHarris</v>
      </c>
      <c r="S461" t="str">
        <f t="shared" si="121"/>
        <v>aol.com</v>
      </c>
      <c r="T461" t="str">
        <f t="shared" si="122"/>
        <v>aol</v>
      </c>
      <c r="U461" t="str">
        <f t="shared" si="123"/>
        <v>LindaRHarris</v>
      </c>
      <c r="V461" t="s">
        <v>2943</v>
      </c>
      <c r="W461" t="str">
        <f t="shared" si="124"/>
        <v>216-</v>
      </c>
      <c r="X461" t="str">
        <f t="shared" si="125"/>
        <v>741</v>
      </c>
      <c r="Y461" t="str">
        <f t="shared" si="126"/>
        <v>-1378</v>
      </c>
      <c r="Z461" t="str">
        <f>SUBSTITUTE(V461,"-","|",2)</f>
        <v>216-741|1378</v>
      </c>
      <c r="AA461" t="str">
        <f>LEFT(V461,3)</f>
        <v>216</v>
      </c>
      <c r="AB461" t="str">
        <f>MID(V461,5,3)</f>
        <v>741</v>
      </c>
      <c r="AC461" t="str">
        <f>RIGHT(V461,4)</f>
        <v>1378</v>
      </c>
      <c r="AD461" s="3" t="s">
        <v>2944</v>
      </c>
      <c r="AE461" s="3" t="str">
        <f t="shared" si="127"/>
        <v>3187</v>
      </c>
    </row>
    <row r="462" spans="1:31">
      <c r="A462" t="s">
        <v>471</v>
      </c>
      <c r="B462" t="str">
        <f t="shared" si="113"/>
        <v>David</v>
      </c>
      <c r="C462" t="s">
        <v>30</v>
      </c>
      <c r="D462" t="s">
        <v>1795</v>
      </c>
      <c r="E462" t="str">
        <f t="shared" si="114"/>
        <v>Robinson</v>
      </c>
      <c r="F462" t="str">
        <f t="shared" si="115"/>
        <v>DAVIDROBINSON</v>
      </c>
      <c r="G462" t="str">
        <f t="shared" si="116"/>
        <v>DAVIDROBINSON</v>
      </c>
      <c r="H462" t="str">
        <f t="shared" si="117"/>
        <v>DAV ROBINSON</v>
      </c>
      <c r="I462" t="str">
        <f t="shared" si="118"/>
        <v>DAV.R</v>
      </c>
      <c r="J462" t="s">
        <v>42</v>
      </c>
      <c r="K462" t="s">
        <v>2945</v>
      </c>
      <c r="L462" t="s">
        <v>192</v>
      </c>
      <c r="M462" t="s">
        <v>88</v>
      </c>
      <c r="N462">
        <v>77014</v>
      </c>
      <c r="O462" t="str">
        <f t="shared" si="119"/>
        <v>77014</v>
      </c>
      <c r="P462" t="str">
        <f t="shared" si="112"/>
        <v>1515 Bird Spring Lane, Houston, TX, 77014</v>
      </c>
      <c r="Q462" t="s">
        <v>2946</v>
      </c>
      <c r="R462" t="str">
        <f t="shared" si="120"/>
        <v>DavidJRobinson</v>
      </c>
      <c r="S462" t="str">
        <f t="shared" si="121"/>
        <v>aol.com</v>
      </c>
      <c r="T462" t="str">
        <f t="shared" si="122"/>
        <v>aol</v>
      </c>
      <c r="U462" t="str">
        <f t="shared" si="123"/>
        <v>DavidJRobinson</v>
      </c>
      <c r="V462" t="s">
        <v>2947</v>
      </c>
      <c r="W462" t="str">
        <f t="shared" si="124"/>
        <v>281-</v>
      </c>
      <c r="X462" t="str">
        <f t="shared" si="125"/>
        <v>587</v>
      </c>
      <c r="Y462" t="str">
        <f t="shared" si="126"/>
        <v>-3822</v>
      </c>
      <c r="Z462" t="str">
        <f>SUBSTITUTE(V462,"-","|",2)</f>
        <v>281-587|3822</v>
      </c>
      <c r="AA462" t="str">
        <f>LEFT(V462,3)</f>
        <v>281</v>
      </c>
      <c r="AB462" t="str">
        <f>MID(V462,5,3)</f>
        <v>587</v>
      </c>
      <c r="AC462" t="str">
        <f>RIGHT(V462,4)</f>
        <v>3822</v>
      </c>
      <c r="AD462" s="3" t="s">
        <v>2948</v>
      </c>
      <c r="AE462" s="3" t="str">
        <f t="shared" si="127"/>
        <v>7324</v>
      </c>
    </row>
    <row r="463" spans="1:31">
      <c r="A463" t="s">
        <v>2949</v>
      </c>
      <c r="B463" t="str">
        <f t="shared" si="113"/>
        <v>Larry</v>
      </c>
      <c r="C463" t="s">
        <v>365</v>
      </c>
      <c r="D463" t="s">
        <v>2950</v>
      </c>
      <c r="E463" t="str">
        <f t="shared" si="114"/>
        <v>Higgin</v>
      </c>
      <c r="F463" t="str">
        <f t="shared" si="115"/>
        <v>LARRYHIGGIN</v>
      </c>
      <c r="G463" t="str">
        <f t="shared" si="116"/>
        <v>LARRYHIGGIN</v>
      </c>
      <c r="H463" t="str">
        <f t="shared" si="117"/>
        <v>LAR HIGGIN</v>
      </c>
      <c r="I463" t="str">
        <f t="shared" si="118"/>
        <v>LAR.H</v>
      </c>
      <c r="J463" t="s">
        <v>42</v>
      </c>
      <c r="K463" t="s">
        <v>2951</v>
      </c>
      <c r="L463" t="s">
        <v>2952</v>
      </c>
      <c r="M463" t="s">
        <v>256</v>
      </c>
      <c r="N463">
        <v>27263</v>
      </c>
      <c r="O463" t="str">
        <f t="shared" si="119"/>
        <v>27263</v>
      </c>
      <c r="P463" t="str">
        <f t="shared" si="112"/>
        <v>3602 Keyser Ridge Road, Archdale, NC, 27263</v>
      </c>
      <c r="Q463" t="s">
        <v>2953</v>
      </c>
      <c r="R463" t="str">
        <f t="shared" si="120"/>
        <v>LarryGHiggin</v>
      </c>
      <c r="S463" t="str">
        <f t="shared" si="121"/>
        <v>hotmail.com</v>
      </c>
      <c r="T463" t="str">
        <f t="shared" si="122"/>
        <v>hotmail</v>
      </c>
      <c r="U463" t="str">
        <f t="shared" si="123"/>
        <v>LarryGHiggin</v>
      </c>
      <c r="V463" t="s">
        <v>2954</v>
      </c>
      <c r="W463" t="str">
        <f t="shared" si="124"/>
        <v>336-</v>
      </c>
      <c r="X463" t="str">
        <f t="shared" si="125"/>
        <v>434</v>
      </c>
      <c r="Y463" t="str">
        <f t="shared" si="126"/>
        <v>-5443</v>
      </c>
      <c r="Z463" t="str">
        <f>SUBSTITUTE(V463,"-","|",2)</f>
        <v>336-434|5443</v>
      </c>
      <c r="AA463" t="str">
        <f>LEFT(V463,3)</f>
        <v>336</v>
      </c>
      <c r="AB463" t="str">
        <f>MID(V463,5,3)</f>
        <v>434</v>
      </c>
      <c r="AC463" t="str">
        <f>RIGHT(V463,4)</f>
        <v>5443</v>
      </c>
      <c r="AD463" s="3" t="s">
        <v>2955</v>
      </c>
      <c r="AE463" s="3" t="str">
        <f t="shared" si="127"/>
        <v>1104</v>
      </c>
    </row>
    <row r="464" spans="1:31">
      <c r="A464" t="s">
        <v>615</v>
      </c>
      <c r="B464" t="str">
        <f t="shared" si="113"/>
        <v>Mary</v>
      </c>
      <c r="C464" t="s">
        <v>40</v>
      </c>
      <c r="D464" t="s">
        <v>2956</v>
      </c>
      <c r="E464" t="str">
        <f t="shared" si="114"/>
        <v>Borders</v>
      </c>
      <c r="F464" t="str">
        <f t="shared" si="115"/>
        <v>MARYBORDERS</v>
      </c>
      <c r="G464" t="str">
        <f t="shared" si="116"/>
        <v>MARYBORDERS</v>
      </c>
      <c r="H464" t="str">
        <f t="shared" si="117"/>
        <v>MAR BORDERS</v>
      </c>
      <c r="I464" t="str">
        <f t="shared" si="118"/>
        <v>MAR.B</v>
      </c>
      <c r="J464" t="s">
        <v>32</v>
      </c>
      <c r="K464" t="s">
        <v>2957</v>
      </c>
      <c r="L464" t="s">
        <v>2958</v>
      </c>
      <c r="M464" t="s">
        <v>1020</v>
      </c>
      <c r="N464">
        <v>29575</v>
      </c>
      <c r="O464" t="str">
        <f t="shared" si="119"/>
        <v>29575</v>
      </c>
      <c r="P464" t="str">
        <f t="shared" si="112"/>
        <v>3103 Jerry Dove Drive, Myrtle Beach, SC, 29575</v>
      </c>
      <c r="Q464" t="s">
        <v>2959</v>
      </c>
      <c r="R464" t="str">
        <f t="shared" si="120"/>
        <v>MarySBorders</v>
      </c>
      <c r="S464" t="str">
        <f t="shared" si="121"/>
        <v>gmail.com</v>
      </c>
      <c r="T464" t="str">
        <f t="shared" si="122"/>
        <v>gmail</v>
      </c>
      <c r="U464" t="str">
        <f t="shared" si="123"/>
        <v>MarySBorders</v>
      </c>
      <c r="V464" t="s">
        <v>2960</v>
      </c>
      <c r="W464" t="str">
        <f t="shared" si="124"/>
        <v>843-</v>
      </c>
      <c r="X464" t="str">
        <f t="shared" si="125"/>
        <v>424</v>
      </c>
      <c r="Y464" t="str">
        <f t="shared" si="126"/>
        <v>-8460</v>
      </c>
      <c r="Z464" t="str">
        <f>SUBSTITUTE(V464,"-","|",2)</f>
        <v>843-424|8460</v>
      </c>
      <c r="AA464" t="str">
        <f>LEFT(V464,3)</f>
        <v>843</v>
      </c>
      <c r="AB464" t="str">
        <f>MID(V464,5,3)</f>
        <v>424</v>
      </c>
      <c r="AC464" t="str">
        <f>RIGHT(V464,4)</f>
        <v>8460</v>
      </c>
      <c r="AD464" s="3" t="s">
        <v>2961</v>
      </c>
      <c r="AE464" s="3" t="str">
        <f t="shared" si="127"/>
        <v>9855</v>
      </c>
    </row>
    <row r="465" spans="1:31">
      <c r="A465" t="s">
        <v>2962</v>
      </c>
      <c r="B465" t="str">
        <f t="shared" si="113"/>
        <v>Stephanie</v>
      </c>
      <c r="C465" t="s">
        <v>182</v>
      </c>
      <c r="D465" t="s">
        <v>2963</v>
      </c>
      <c r="E465" t="str">
        <f t="shared" si="114"/>
        <v>Tipler</v>
      </c>
      <c r="F465" t="str">
        <f t="shared" si="115"/>
        <v>STEPHANIETIPLER</v>
      </c>
      <c r="G465" t="str">
        <f t="shared" si="116"/>
        <v>STEPHANIETIPLER</v>
      </c>
      <c r="H465" t="str">
        <f t="shared" si="117"/>
        <v>STE TIPLER</v>
      </c>
      <c r="I465" t="str">
        <f t="shared" si="118"/>
        <v>STE.T</v>
      </c>
      <c r="J465" t="s">
        <v>32</v>
      </c>
      <c r="K465" t="s">
        <v>2964</v>
      </c>
      <c r="L465" t="s">
        <v>2563</v>
      </c>
      <c r="M465" t="s">
        <v>413</v>
      </c>
      <c r="N465">
        <v>21136</v>
      </c>
      <c r="O465" t="str">
        <f t="shared" si="119"/>
        <v>21136</v>
      </c>
      <c r="P465" t="str">
        <f t="shared" si="112"/>
        <v>1172 Marie Street, Reisterstown, MD, 21136</v>
      </c>
      <c r="Q465" t="s">
        <v>2965</v>
      </c>
      <c r="R465" t="str">
        <f t="shared" si="120"/>
        <v>StephanieCTipler</v>
      </c>
      <c r="S465" t="str">
        <f t="shared" si="121"/>
        <v>hotmail.com</v>
      </c>
      <c r="T465" t="str">
        <f t="shared" si="122"/>
        <v>hotmail</v>
      </c>
      <c r="U465" t="str">
        <f t="shared" si="123"/>
        <v>StephanieCTipler</v>
      </c>
      <c r="V465" t="s">
        <v>2966</v>
      </c>
      <c r="W465" t="str">
        <f t="shared" si="124"/>
        <v>410-</v>
      </c>
      <c r="X465" t="str">
        <f t="shared" si="125"/>
        <v>861</v>
      </c>
      <c r="Y465" t="str">
        <f t="shared" si="126"/>
        <v>-3215</v>
      </c>
      <c r="Z465" t="str">
        <f>SUBSTITUTE(V465,"-","|",2)</f>
        <v>410-861|3215</v>
      </c>
      <c r="AA465" t="str">
        <f>LEFT(V465,3)</f>
        <v>410</v>
      </c>
      <c r="AB465" t="str">
        <f>MID(V465,5,3)</f>
        <v>861</v>
      </c>
      <c r="AC465" t="str">
        <f>RIGHT(V465,4)</f>
        <v>3215</v>
      </c>
      <c r="AD465" s="3" t="s">
        <v>2967</v>
      </c>
      <c r="AE465" s="3" t="str">
        <f t="shared" si="127"/>
        <v>4098</v>
      </c>
    </row>
    <row r="466" spans="1:31">
      <c r="A466" t="s">
        <v>2853</v>
      </c>
      <c r="B466" t="str">
        <f t="shared" si="113"/>
        <v>Derek</v>
      </c>
      <c r="C466" t="s">
        <v>132</v>
      </c>
      <c r="D466" t="s">
        <v>2968</v>
      </c>
      <c r="E466" t="str">
        <f t="shared" si="114"/>
        <v>Welch</v>
      </c>
      <c r="F466" t="str">
        <f t="shared" si="115"/>
        <v>DEREKWELCH</v>
      </c>
      <c r="G466" t="str">
        <f t="shared" si="116"/>
        <v>DEREKWELCH</v>
      </c>
      <c r="H466" t="str">
        <f t="shared" si="117"/>
        <v>DER WELCH</v>
      </c>
      <c r="I466" t="str">
        <f t="shared" si="118"/>
        <v>DER.W</v>
      </c>
      <c r="J466" t="s">
        <v>42</v>
      </c>
      <c r="K466" t="s">
        <v>2969</v>
      </c>
      <c r="L466" t="s">
        <v>2970</v>
      </c>
      <c r="M466" t="s">
        <v>871</v>
      </c>
      <c r="N466">
        <v>98031</v>
      </c>
      <c r="O466" t="str">
        <f t="shared" si="119"/>
        <v>98031</v>
      </c>
      <c r="P466" t="str">
        <f t="shared" si="112"/>
        <v>3019 Dale Avenue, Kent, WA, 98031</v>
      </c>
      <c r="Q466" t="s">
        <v>2971</v>
      </c>
      <c r="R466" t="str">
        <f t="shared" si="120"/>
        <v>DerekRWelch</v>
      </c>
      <c r="S466" t="str">
        <f t="shared" si="121"/>
        <v>hotmail.com</v>
      </c>
      <c r="T466" t="str">
        <f t="shared" si="122"/>
        <v>hotmail</v>
      </c>
      <c r="U466" t="str">
        <f t="shared" si="123"/>
        <v>DerekRWelch</v>
      </c>
      <c r="V466" t="s">
        <v>2972</v>
      </c>
      <c r="W466" t="str">
        <f t="shared" si="124"/>
        <v>253-</v>
      </c>
      <c r="X466" t="str">
        <f t="shared" si="125"/>
        <v>852</v>
      </c>
      <c r="Y466" t="str">
        <f t="shared" si="126"/>
        <v>-4052</v>
      </c>
      <c r="Z466" t="str">
        <f>SUBSTITUTE(V466,"-","|",2)</f>
        <v>253-852|4052</v>
      </c>
      <c r="AA466" t="str">
        <f>LEFT(V466,3)</f>
        <v>253</v>
      </c>
      <c r="AB466" t="str">
        <f>MID(V466,5,3)</f>
        <v>852</v>
      </c>
      <c r="AC466" t="str">
        <f>RIGHT(V466,4)</f>
        <v>4052</v>
      </c>
      <c r="AD466" s="3" t="s">
        <v>2973</v>
      </c>
      <c r="AE466" s="3" t="str">
        <f t="shared" si="127"/>
        <v>284</v>
      </c>
    </row>
    <row r="467" spans="1:31">
      <c r="A467" t="s">
        <v>2974</v>
      </c>
      <c r="B467" t="str">
        <f t="shared" si="113"/>
        <v>Scotty</v>
      </c>
      <c r="C467" t="s">
        <v>30</v>
      </c>
      <c r="D467" t="s">
        <v>2975</v>
      </c>
      <c r="E467" t="str">
        <f t="shared" si="114"/>
        <v>Horton</v>
      </c>
      <c r="F467" t="str">
        <f t="shared" si="115"/>
        <v>SCOTTYHORTON</v>
      </c>
      <c r="G467" t="str">
        <f t="shared" si="116"/>
        <v>SCOTTYHORTON</v>
      </c>
      <c r="H467" t="str">
        <f t="shared" si="117"/>
        <v>SCO HORTON</v>
      </c>
      <c r="I467" t="str">
        <f t="shared" si="118"/>
        <v>SCO.H</v>
      </c>
      <c r="J467" t="s">
        <v>42</v>
      </c>
      <c r="K467" t="s">
        <v>2976</v>
      </c>
      <c r="L467" t="s">
        <v>2977</v>
      </c>
      <c r="M467" t="s">
        <v>45</v>
      </c>
      <c r="N467">
        <v>91739</v>
      </c>
      <c r="O467" t="str">
        <f t="shared" si="119"/>
        <v>91739</v>
      </c>
      <c r="P467" t="str">
        <f t="shared" si="112"/>
        <v>4751 Gordon Street, Etiwanda, CA, 91739</v>
      </c>
      <c r="Q467" t="s">
        <v>2978</v>
      </c>
      <c r="R467" t="str">
        <f t="shared" si="120"/>
        <v>ScottyJHorton</v>
      </c>
      <c r="S467" t="str">
        <f t="shared" si="121"/>
        <v>gmail.com</v>
      </c>
      <c r="T467" t="str">
        <f t="shared" si="122"/>
        <v>gmail</v>
      </c>
      <c r="U467" t="str">
        <f t="shared" si="123"/>
        <v>ScottyJHorton</v>
      </c>
      <c r="V467" t="s">
        <v>2979</v>
      </c>
      <c r="W467" t="str">
        <f t="shared" si="124"/>
        <v>909-</v>
      </c>
      <c r="X467" t="str">
        <f t="shared" si="125"/>
        <v>463</v>
      </c>
      <c r="Y467" t="str">
        <f t="shared" si="126"/>
        <v>-0852</v>
      </c>
      <c r="Z467" t="str">
        <f>SUBSTITUTE(V467,"-","|",2)</f>
        <v>909-463|0852</v>
      </c>
      <c r="AA467" t="str">
        <f>LEFT(V467,3)</f>
        <v>909</v>
      </c>
      <c r="AB467" t="str">
        <f>MID(V467,5,3)</f>
        <v>463</v>
      </c>
      <c r="AC467" t="str">
        <f>RIGHT(V467,4)</f>
        <v>0852</v>
      </c>
      <c r="AD467" s="3" t="s">
        <v>2980</v>
      </c>
      <c r="AE467" s="3" t="str">
        <f t="shared" si="127"/>
        <v>298</v>
      </c>
    </row>
    <row r="468" spans="1:31">
      <c r="A468" t="s">
        <v>2121</v>
      </c>
      <c r="B468" t="str">
        <f t="shared" si="113"/>
        <v>Lee</v>
      </c>
      <c r="C468" t="s">
        <v>58</v>
      </c>
      <c r="D468" t="s">
        <v>2981</v>
      </c>
      <c r="E468" t="str">
        <f t="shared" si="114"/>
        <v>Diaz</v>
      </c>
      <c r="F468" t="str">
        <f t="shared" si="115"/>
        <v>LEEDIAZ</v>
      </c>
      <c r="G468" t="str">
        <f t="shared" si="116"/>
        <v>LEEDIAZ</v>
      </c>
      <c r="H468" t="str">
        <f t="shared" si="117"/>
        <v>LEE DIAZ</v>
      </c>
      <c r="I468" t="str">
        <f t="shared" si="118"/>
        <v>LEE.D</v>
      </c>
      <c r="J468" t="s">
        <v>42</v>
      </c>
      <c r="K468" t="s">
        <v>2982</v>
      </c>
      <c r="L468" t="s">
        <v>1866</v>
      </c>
      <c r="M468" t="s">
        <v>104</v>
      </c>
      <c r="N468">
        <v>11530</v>
      </c>
      <c r="O468" t="str">
        <f t="shared" si="119"/>
        <v>11530</v>
      </c>
      <c r="P468" t="str">
        <f t="shared" si="112"/>
        <v>2479 Turkey Pen Road, Garden City, NY, 11530</v>
      </c>
      <c r="Q468" t="s">
        <v>2983</v>
      </c>
      <c r="R468" t="str">
        <f t="shared" si="120"/>
        <v>LeeMDiaz</v>
      </c>
      <c r="S468" t="str">
        <f t="shared" si="121"/>
        <v>aol.com</v>
      </c>
      <c r="T468" t="str">
        <f t="shared" si="122"/>
        <v>aol</v>
      </c>
      <c r="U468" t="str">
        <f t="shared" si="123"/>
        <v>LeeMDiaz</v>
      </c>
      <c r="V468" t="s">
        <v>2984</v>
      </c>
      <c r="W468" t="str">
        <f t="shared" si="124"/>
        <v>917-</v>
      </c>
      <c r="X468" t="str">
        <f t="shared" si="125"/>
        <v>299</v>
      </c>
      <c r="Y468" t="str">
        <f t="shared" si="126"/>
        <v>-0981</v>
      </c>
      <c r="Z468" t="str">
        <f>SUBSTITUTE(V468,"-","|",2)</f>
        <v>917-299|0981</v>
      </c>
      <c r="AA468" t="str">
        <f>LEFT(V468,3)</f>
        <v>917</v>
      </c>
      <c r="AB468" t="str">
        <f>MID(V468,5,3)</f>
        <v>299</v>
      </c>
      <c r="AC468" t="str">
        <f>RIGHT(V468,4)</f>
        <v>0981</v>
      </c>
      <c r="AD468" s="3" t="s">
        <v>2985</v>
      </c>
      <c r="AE468" s="3" t="str">
        <f t="shared" si="127"/>
        <v>6769</v>
      </c>
    </row>
    <row r="469" spans="1:31">
      <c r="A469" t="s">
        <v>140</v>
      </c>
      <c r="B469" t="str">
        <f t="shared" si="113"/>
        <v>Barbara</v>
      </c>
      <c r="C469" t="s">
        <v>261</v>
      </c>
      <c r="D469" t="s">
        <v>2986</v>
      </c>
      <c r="E469" t="str">
        <f t="shared" si="114"/>
        <v>Velazquez</v>
      </c>
      <c r="F469" t="str">
        <f t="shared" si="115"/>
        <v>BARBARAVELAZQUEZ</v>
      </c>
      <c r="G469" t="str">
        <f t="shared" si="116"/>
        <v>BARBARAVELAZQUEZ</v>
      </c>
      <c r="H469" t="str">
        <f t="shared" si="117"/>
        <v>BAR VELAZQUEZ</v>
      </c>
      <c r="I469" t="str">
        <f t="shared" si="118"/>
        <v>BAR.V</v>
      </c>
      <c r="J469" t="s">
        <v>32</v>
      </c>
      <c r="K469" t="s">
        <v>2987</v>
      </c>
      <c r="L469" t="s">
        <v>2988</v>
      </c>
      <c r="M469" t="s">
        <v>530</v>
      </c>
      <c r="N469">
        <v>38866</v>
      </c>
      <c r="O469" t="str">
        <f t="shared" si="119"/>
        <v>38866</v>
      </c>
      <c r="P469" t="str">
        <f t="shared" si="112"/>
        <v>4739 Tanglewood Road, Saltillo, MS, 38866</v>
      </c>
      <c r="Q469" t="s">
        <v>2989</v>
      </c>
      <c r="R469" t="str">
        <f t="shared" si="120"/>
        <v>BarbaraWVelazquez</v>
      </c>
      <c r="S469" t="str">
        <f t="shared" si="121"/>
        <v>gmail.com</v>
      </c>
      <c r="T469" t="str">
        <f t="shared" si="122"/>
        <v>gmail</v>
      </c>
      <c r="U469" t="str">
        <f t="shared" si="123"/>
        <v>BarbaraWVelazquez</v>
      </c>
      <c r="V469" t="s">
        <v>2990</v>
      </c>
      <c r="W469" t="str">
        <f t="shared" si="124"/>
        <v>662-</v>
      </c>
      <c r="X469" t="str">
        <f t="shared" si="125"/>
        <v>869</v>
      </c>
      <c r="Y469" t="str">
        <f t="shared" si="126"/>
        <v>-6312</v>
      </c>
      <c r="Z469" t="str">
        <f>SUBSTITUTE(V469,"-","|",2)</f>
        <v>662-869|6312</v>
      </c>
      <c r="AA469" t="str">
        <f>LEFT(V469,3)</f>
        <v>662</v>
      </c>
      <c r="AB469" t="str">
        <f>MID(V469,5,3)</f>
        <v>869</v>
      </c>
      <c r="AC469" t="str">
        <f>RIGHT(V469,4)</f>
        <v>6312</v>
      </c>
      <c r="AD469" s="3" t="s">
        <v>2991</v>
      </c>
      <c r="AE469" s="3" t="str">
        <f t="shared" si="127"/>
        <v>9306</v>
      </c>
    </row>
    <row r="470" spans="1:31">
      <c r="A470" t="s">
        <v>2992</v>
      </c>
      <c r="B470" t="str">
        <f t="shared" si="113"/>
        <v>Sarah</v>
      </c>
      <c r="C470" t="s">
        <v>365</v>
      </c>
      <c r="D470" t="s">
        <v>535</v>
      </c>
      <c r="E470" t="str">
        <f t="shared" si="114"/>
        <v>Johnson</v>
      </c>
      <c r="F470" t="str">
        <f t="shared" si="115"/>
        <v>SARAHJOHNSON</v>
      </c>
      <c r="G470" t="str">
        <f t="shared" si="116"/>
        <v>SARAHJOHNSON</v>
      </c>
      <c r="H470" t="str">
        <f t="shared" si="117"/>
        <v>SAR JOHNSON</v>
      </c>
      <c r="I470" t="str">
        <f t="shared" si="118"/>
        <v>SAR.J</v>
      </c>
      <c r="J470" t="s">
        <v>32</v>
      </c>
      <c r="K470" t="s">
        <v>2993</v>
      </c>
      <c r="L470" t="s">
        <v>2994</v>
      </c>
      <c r="M470" t="s">
        <v>177</v>
      </c>
      <c r="N470">
        <v>37040</v>
      </c>
      <c r="O470" t="str">
        <f t="shared" si="119"/>
        <v>37040</v>
      </c>
      <c r="P470" t="str">
        <f t="shared" si="112"/>
        <v>3648 Chenoweth Drive, Clarksville, TN, 37040</v>
      </c>
      <c r="Q470" t="s">
        <v>2995</v>
      </c>
      <c r="R470" t="str">
        <f t="shared" si="120"/>
        <v>SarahGJohnson</v>
      </c>
      <c r="S470" t="str">
        <f t="shared" si="121"/>
        <v>gmail.com</v>
      </c>
      <c r="T470" t="str">
        <f t="shared" si="122"/>
        <v>gmail</v>
      </c>
      <c r="U470" t="str">
        <f t="shared" si="123"/>
        <v>SarahGJohnson</v>
      </c>
      <c r="V470" t="s">
        <v>2996</v>
      </c>
      <c r="W470" t="str">
        <f t="shared" si="124"/>
        <v>931-</v>
      </c>
      <c r="X470" t="str">
        <f t="shared" si="125"/>
        <v>503</v>
      </c>
      <c r="Y470" t="str">
        <f t="shared" si="126"/>
        <v>-2978</v>
      </c>
      <c r="Z470" t="str">
        <f>SUBSTITUTE(V470,"-","|",2)</f>
        <v>931-503|2978</v>
      </c>
      <c r="AA470" t="str">
        <f>LEFT(V470,3)</f>
        <v>931</v>
      </c>
      <c r="AB470" t="str">
        <f>MID(V470,5,3)</f>
        <v>503</v>
      </c>
      <c r="AC470" t="str">
        <f>RIGHT(V470,4)</f>
        <v>2978</v>
      </c>
      <c r="AD470" s="3" t="s">
        <v>2997</v>
      </c>
      <c r="AE470" s="3" t="str">
        <f t="shared" si="127"/>
        <v>790</v>
      </c>
    </row>
    <row r="471" spans="1:31">
      <c r="A471" t="s">
        <v>260</v>
      </c>
      <c r="B471" t="str">
        <f t="shared" si="113"/>
        <v>Cynthia</v>
      </c>
      <c r="C471" t="s">
        <v>30</v>
      </c>
      <c r="D471" t="s">
        <v>366</v>
      </c>
      <c r="E471" t="str">
        <f t="shared" si="114"/>
        <v>Kizer</v>
      </c>
      <c r="F471" t="str">
        <f t="shared" si="115"/>
        <v>CYNTHIAKIZER</v>
      </c>
      <c r="G471" t="str">
        <f t="shared" si="116"/>
        <v>CYNTHIAKIZER</v>
      </c>
      <c r="H471" t="str">
        <f t="shared" si="117"/>
        <v>CYN KIZER</v>
      </c>
      <c r="I471" t="str">
        <f t="shared" si="118"/>
        <v>CYN.K</v>
      </c>
      <c r="J471" t="s">
        <v>32</v>
      </c>
      <c r="K471" t="s">
        <v>2998</v>
      </c>
      <c r="L471" t="s">
        <v>2999</v>
      </c>
      <c r="M471" t="s">
        <v>35</v>
      </c>
      <c r="N471">
        <v>62294</v>
      </c>
      <c r="O471" t="str">
        <f t="shared" si="119"/>
        <v>62294</v>
      </c>
      <c r="P471" t="str">
        <f t="shared" si="112"/>
        <v>777 College View, Troy, IL, 62294</v>
      </c>
      <c r="Q471" t="s">
        <v>3000</v>
      </c>
      <c r="R471" t="str">
        <f t="shared" si="120"/>
        <v>CynthiaJKizer</v>
      </c>
      <c r="S471" t="str">
        <f t="shared" si="121"/>
        <v>gmail.com</v>
      </c>
      <c r="T471" t="str">
        <f t="shared" si="122"/>
        <v>gmail</v>
      </c>
      <c r="U471" t="str">
        <f t="shared" si="123"/>
        <v>CynthiaJKizer</v>
      </c>
      <c r="V471" t="s">
        <v>3001</v>
      </c>
      <c r="W471" t="str">
        <f t="shared" si="124"/>
        <v>618-</v>
      </c>
      <c r="X471" t="str">
        <f t="shared" si="125"/>
        <v>667</v>
      </c>
      <c r="Y471" t="str">
        <f t="shared" si="126"/>
        <v>-5060</v>
      </c>
      <c r="Z471" t="str">
        <f>SUBSTITUTE(V471,"-","|",2)</f>
        <v>618-667|5060</v>
      </c>
      <c r="AA471" t="str">
        <f>LEFT(V471,3)</f>
        <v>618</v>
      </c>
      <c r="AB471" t="str">
        <f>MID(V471,5,3)</f>
        <v>667</v>
      </c>
      <c r="AC471" t="str">
        <f>RIGHT(V471,4)</f>
        <v>5060</v>
      </c>
      <c r="AD471" s="3" t="s">
        <v>3002</v>
      </c>
      <c r="AE471" s="3" t="str">
        <f t="shared" si="127"/>
        <v>9452</v>
      </c>
    </row>
    <row r="472" spans="1:31">
      <c r="A472" t="s">
        <v>915</v>
      </c>
      <c r="B472" t="str">
        <f t="shared" si="113"/>
        <v>Christopher</v>
      </c>
      <c r="C472" t="s">
        <v>182</v>
      </c>
      <c r="D472" t="s">
        <v>3003</v>
      </c>
      <c r="E472" t="str">
        <f t="shared" si="114"/>
        <v>Dawson</v>
      </c>
      <c r="F472" t="str">
        <f t="shared" si="115"/>
        <v>CHRISTOPHERDAWSON</v>
      </c>
      <c r="G472" t="str">
        <f t="shared" si="116"/>
        <v>CHRISTOPHERDAWSON</v>
      </c>
      <c r="H472" t="str">
        <f t="shared" si="117"/>
        <v>CHR DAWSON</v>
      </c>
      <c r="I472" t="str">
        <f t="shared" si="118"/>
        <v>CHR.D</v>
      </c>
      <c r="J472" t="s">
        <v>42</v>
      </c>
      <c r="K472" t="s">
        <v>3004</v>
      </c>
      <c r="L472" t="s">
        <v>3005</v>
      </c>
      <c r="M472" t="s">
        <v>217</v>
      </c>
      <c r="N472">
        <v>84104</v>
      </c>
      <c r="O472" t="str">
        <f t="shared" si="119"/>
        <v>84104</v>
      </c>
      <c r="P472" t="str">
        <f t="shared" si="112"/>
        <v>2379 Lang Avenue, Salt Lake City, UT, 84104</v>
      </c>
      <c r="Q472" t="s">
        <v>3006</v>
      </c>
      <c r="R472" t="str">
        <f t="shared" si="120"/>
        <v>ChristopherCDawson</v>
      </c>
      <c r="S472" t="str">
        <f t="shared" si="121"/>
        <v>gmail.com</v>
      </c>
      <c r="T472" t="str">
        <f t="shared" si="122"/>
        <v>gmail</v>
      </c>
      <c r="U472" t="str">
        <f t="shared" si="123"/>
        <v>ChristopherCDawson</v>
      </c>
      <c r="V472" t="s">
        <v>3007</v>
      </c>
      <c r="W472" t="str">
        <f t="shared" si="124"/>
        <v>435-</v>
      </c>
      <c r="X472" t="str">
        <f t="shared" si="125"/>
        <v>938</v>
      </c>
      <c r="Y472" t="str">
        <f t="shared" si="126"/>
        <v>-4989</v>
      </c>
      <c r="Z472" t="str">
        <f>SUBSTITUTE(V472,"-","|",2)</f>
        <v>435-938|4989</v>
      </c>
      <c r="AA472" t="str">
        <f>LEFT(V472,3)</f>
        <v>435</v>
      </c>
      <c r="AB472" t="str">
        <f>MID(V472,5,3)</f>
        <v>938</v>
      </c>
      <c r="AC472" t="str">
        <f>RIGHT(V472,4)</f>
        <v>4989</v>
      </c>
      <c r="AD472" s="3" t="s">
        <v>3008</v>
      </c>
      <c r="AE472" s="3" t="str">
        <f t="shared" si="127"/>
        <v>3969</v>
      </c>
    </row>
    <row r="473" spans="1:31">
      <c r="A473" t="s">
        <v>1580</v>
      </c>
      <c r="B473" t="str">
        <f t="shared" si="113"/>
        <v>Bryan</v>
      </c>
      <c r="C473" t="s">
        <v>124</v>
      </c>
      <c r="D473" t="s">
        <v>1795</v>
      </c>
      <c r="E473" t="str">
        <f t="shared" si="114"/>
        <v>Robinson</v>
      </c>
      <c r="F473" t="str">
        <f t="shared" si="115"/>
        <v>BRYANROBINSON</v>
      </c>
      <c r="G473" t="str">
        <f t="shared" si="116"/>
        <v>BRYANROBINSON</v>
      </c>
      <c r="H473" t="str">
        <f t="shared" si="117"/>
        <v>BRY ROBINSON</v>
      </c>
      <c r="I473" t="str">
        <f t="shared" si="118"/>
        <v>BRY.R</v>
      </c>
      <c r="J473" t="s">
        <v>42</v>
      </c>
      <c r="K473" t="s">
        <v>3009</v>
      </c>
      <c r="L473" t="s">
        <v>1873</v>
      </c>
      <c r="M473" t="s">
        <v>53</v>
      </c>
      <c r="N473">
        <v>8070</v>
      </c>
      <c r="O473" t="str">
        <f t="shared" si="119"/>
        <v>08070</v>
      </c>
      <c r="P473" t="str">
        <f t="shared" si="112"/>
        <v>1049 Prospect Street, Pennsville, NJ, 8070</v>
      </c>
      <c r="Q473" t="s">
        <v>3010</v>
      </c>
      <c r="R473" t="str">
        <f t="shared" si="120"/>
        <v>BryanFRobinson</v>
      </c>
      <c r="S473" t="str">
        <f t="shared" si="121"/>
        <v>aol.com</v>
      </c>
      <c r="T473" t="str">
        <f t="shared" si="122"/>
        <v>aol</v>
      </c>
      <c r="U473" t="str">
        <f t="shared" si="123"/>
        <v>BryanFRobinson</v>
      </c>
      <c r="V473" t="s">
        <v>3011</v>
      </c>
      <c r="W473" t="str">
        <f t="shared" si="124"/>
        <v>856-</v>
      </c>
      <c r="X473" t="str">
        <f t="shared" si="125"/>
        <v>678</v>
      </c>
      <c r="Y473" t="str">
        <f t="shared" si="126"/>
        <v>-5886</v>
      </c>
      <c r="Z473" t="str">
        <f>SUBSTITUTE(V473,"-","|",2)</f>
        <v>856-678|5886</v>
      </c>
      <c r="AA473" t="str">
        <f>LEFT(V473,3)</f>
        <v>856</v>
      </c>
      <c r="AB473" t="str">
        <f>MID(V473,5,3)</f>
        <v>678</v>
      </c>
      <c r="AC473" t="str">
        <f>RIGHT(V473,4)</f>
        <v>5886</v>
      </c>
      <c r="AD473" s="3" t="s">
        <v>3012</v>
      </c>
      <c r="AE473" s="3" t="str">
        <f t="shared" si="127"/>
        <v>905</v>
      </c>
    </row>
    <row r="474" spans="1:31">
      <c r="A474" t="s">
        <v>204</v>
      </c>
      <c r="B474" t="str">
        <f t="shared" si="113"/>
        <v>Patrick</v>
      </c>
      <c r="C474" t="s">
        <v>182</v>
      </c>
      <c r="D474" t="s">
        <v>3013</v>
      </c>
      <c r="E474" t="str">
        <f t="shared" si="114"/>
        <v>Dunson</v>
      </c>
      <c r="F474" t="str">
        <f t="shared" si="115"/>
        <v>PATRICKDUNSON</v>
      </c>
      <c r="G474" t="str">
        <f t="shared" si="116"/>
        <v>PATRICKDUNSON</v>
      </c>
      <c r="H474" t="str">
        <f t="shared" si="117"/>
        <v>PAT DUNSON</v>
      </c>
      <c r="I474" t="str">
        <f t="shared" si="118"/>
        <v>PAT.D</v>
      </c>
      <c r="J474" t="s">
        <v>42</v>
      </c>
      <c r="K474" t="s">
        <v>3014</v>
      </c>
      <c r="L474" t="s">
        <v>2822</v>
      </c>
      <c r="M474" t="s">
        <v>347</v>
      </c>
      <c r="N474">
        <v>64131</v>
      </c>
      <c r="O474" t="str">
        <f t="shared" si="119"/>
        <v>64131</v>
      </c>
      <c r="P474" t="str">
        <f t="shared" si="112"/>
        <v>3674 White Oak Drive, Kansas City, MO, 64131</v>
      </c>
      <c r="Q474" t="s">
        <v>3015</v>
      </c>
      <c r="R474" t="str">
        <f t="shared" si="120"/>
        <v>PatrickCDunson</v>
      </c>
      <c r="S474" t="str">
        <f t="shared" si="121"/>
        <v>hotmail.com</v>
      </c>
      <c r="T474" t="str">
        <f t="shared" si="122"/>
        <v>hotmail</v>
      </c>
      <c r="U474" t="str">
        <f t="shared" si="123"/>
        <v>PatrickCDunson</v>
      </c>
      <c r="V474" t="s">
        <v>3016</v>
      </c>
      <c r="W474" t="str">
        <f t="shared" si="124"/>
        <v>816-</v>
      </c>
      <c r="X474" t="str">
        <f t="shared" si="125"/>
        <v>612</v>
      </c>
      <c r="Y474" t="str">
        <f t="shared" si="126"/>
        <v>-5450</v>
      </c>
      <c r="Z474" t="str">
        <f>SUBSTITUTE(V474,"-","|",2)</f>
        <v>816-612|5450</v>
      </c>
      <c r="AA474" t="str">
        <f>LEFT(V474,3)</f>
        <v>816</v>
      </c>
      <c r="AB474" t="str">
        <f>MID(V474,5,3)</f>
        <v>612</v>
      </c>
      <c r="AC474" t="str">
        <f>RIGHT(V474,4)</f>
        <v>5450</v>
      </c>
      <c r="AD474" s="3" t="s">
        <v>3017</v>
      </c>
      <c r="AE474" s="3" t="str">
        <f t="shared" si="127"/>
        <v>718</v>
      </c>
    </row>
    <row r="475" spans="1:31">
      <c r="A475" t="s">
        <v>471</v>
      </c>
      <c r="B475" t="str">
        <f t="shared" si="113"/>
        <v>David</v>
      </c>
      <c r="C475" t="s">
        <v>30</v>
      </c>
      <c r="D475" t="s">
        <v>3018</v>
      </c>
      <c r="E475" t="str">
        <f t="shared" si="114"/>
        <v>Gilman</v>
      </c>
      <c r="F475" t="str">
        <f t="shared" si="115"/>
        <v>DAVIDGILMAN</v>
      </c>
      <c r="G475" t="str">
        <f t="shared" si="116"/>
        <v>DAVIDGILMAN</v>
      </c>
      <c r="H475" t="str">
        <f t="shared" si="117"/>
        <v>DAV GILMAN</v>
      </c>
      <c r="I475" t="str">
        <f t="shared" si="118"/>
        <v>DAV.G</v>
      </c>
      <c r="J475" t="s">
        <v>42</v>
      </c>
      <c r="K475" t="s">
        <v>3019</v>
      </c>
      <c r="L475" t="s">
        <v>232</v>
      </c>
      <c r="M475" t="s">
        <v>45</v>
      </c>
      <c r="N475">
        <v>90071</v>
      </c>
      <c r="O475" t="str">
        <f t="shared" si="119"/>
        <v>90071</v>
      </c>
      <c r="P475" t="str">
        <f t="shared" si="112"/>
        <v>591 Brannon Street, Los Angeles, CA, 90071</v>
      </c>
      <c r="Q475" t="s">
        <v>3020</v>
      </c>
      <c r="R475" t="str">
        <f t="shared" si="120"/>
        <v>DavidJGilman</v>
      </c>
      <c r="S475" t="str">
        <f t="shared" si="121"/>
        <v>aol.com</v>
      </c>
      <c r="T475" t="str">
        <f t="shared" si="122"/>
        <v>aol</v>
      </c>
      <c r="U475" t="str">
        <f t="shared" si="123"/>
        <v>DavidJGilman</v>
      </c>
      <c r="V475" t="s">
        <v>3021</v>
      </c>
      <c r="W475" t="str">
        <f t="shared" si="124"/>
        <v>213-</v>
      </c>
      <c r="X475" t="str">
        <f t="shared" si="125"/>
        <v>347</v>
      </c>
      <c r="Y475" t="str">
        <f t="shared" si="126"/>
        <v>-9293</v>
      </c>
      <c r="Z475" t="str">
        <f>SUBSTITUTE(V475,"-","|",2)</f>
        <v>213-347|9293</v>
      </c>
      <c r="AA475" t="str">
        <f>LEFT(V475,3)</f>
        <v>213</v>
      </c>
      <c r="AB475" t="str">
        <f>MID(V475,5,3)</f>
        <v>347</v>
      </c>
      <c r="AC475" t="str">
        <f>RIGHT(V475,4)</f>
        <v>9293</v>
      </c>
      <c r="AD475" s="3" t="s">
        <v>3022</v>
      </c>
      <c r="AE475" s="3" t="str">
        <f t="shared" si="127"/>
        <v>8017</v>
      </c>
    </row>
    <row r="476" spans="1:31">
      <c r="A476" t="s">
        <v>834</v>
      </c>
      <c r="B476" t="str">
        <f t="shared" si="113"/>
        <v>Ronald</v>
      </c>
      <c r="C476" t="s">
        <v>30</v>
      </c>
      <c r="D476" t="s">
        <v>3023</v>
      </c>
      <c r="E476" t="str">
        <f t="shared" si="114"/>
        <v>Sawyer</v>
      </c>
      <c r="F476" t="str">
        <f t="shared" si="115"/>
        <v>RONALDSAWYER</v>
      </c>
      <c r="G476" t="str">
        <f t="shared" si="116"/>
        <v>RONALDSAWYER</v>
      </c>
      <c r="H476" t="str">
        <f t="shared" si="117"/>
        <v>RON SAWYER</v>
      </c>
      <c r="I476" t="str">
        <f t="shared" si="118"/>
        <v>RON.S</v>
      </c>
      <c r="J476" t="s">
        <v>32</v>
      </c>
      <c r="K476" t="s">
        <v>3024</v>
      </c>
      <c r="L476" t="s">
        <v>1157</v>
      </c>
      <c r="M476" t="s">
        <v>104</v>
      </c>
      <c r="N476">
        <v>10011</v>
      </c>
      <c r="O476" t="str">
        <f t="shared" si="119"/>
        <v>10011</v>
      </c>
      <c r="P476" t="str">
        <f t="shared" si="112"/>
        <v>1477 Morningview Lane, New York, NY, 10011</v>
      </c>
      <c r="Q476" t="s">
        <v>3025</v>
      </c>
      <c r="R476" t="str">
        <f t="shared" si="120"/>
        <v>RonaldJSawyer</v>
      </c>
      <c r="S476" t="str">
        <f t="shared" si="121"/>
        <v>aol.com</v>
      </c>
      <c r="T476" t="str">
        <f t="shared" si="122"/>
        <v>aol</v>
      </c>
      <c r="U476" t="str">
        <f t="shared" si="123"/>
        <v>RonaldJSawyer</v>
      </c>
      <c r="V476" t="s">
        <v>3026</v>
      </c>
      <c r="W476" t="str">
        <f t="shared" si="124"/>
        <v>646-</v>
      </c>
      <c r="X476" t="str">
        <f t="shared" si="125"/>
        <v>238</v>
      </c>
      <c r="Y476" t="str">
        <f t="shared" si="126"/>
        <v>-5360</v>
      </c>
      <c r="Z476" t="str">
        <f>SUBSTITUTE(V476,"-","|",2)</f>
        <v>646-238|5360</v>
      </c>
      <c r="AA476" t="str">
        <f>LEFT(V476,3)</f>
        <v>646</v>
      </c>
      <c r="AB476" t="str">
        <f>MID(V476,5,3)</f>
        <v>238</v>
      </c>
      <c r="AC476" t="str">
        <f>RIGHT(V476,4)</f>
        <v>5360</v>
      </c>
      <c r="AD476" s="3" t="s">
        <v>3027</v>
      </c>
      <c r="AE476" s="3" t="str">
        <f t="shared" si="127"/>
        <v>265</v>
      </c>
    </row>
    <row r="477" spans="1:31">
      <c r="A477" t="s">
        <v>75</v>
      </c>
      <c r="B477" t="str">
        <f t="shared" si="113"/>
        <v>Joseph</v>
      </c>
      <c r="C477" t="s">
        <v>166</v>
      </c>
      <c r="D477" t="s">
        <v>641</v>
      </c>
      <c r="E477" t="str">
        <f t="shared" si="114"/>
        <v>Oliver</v>
      </c>
      <c r="F477" t="str">
        <f t="shared" si="115"/>
        <v>JOSEPHOLIVER</v>
      </c>
      <c r="G477" t="str">
        <f t="shared" si="116"/>
        <v>JOSEPHOLIVER</v>
      </c>
      <c r="H477" t="str">
        <f t="shared" si="117"/>
        <v>JOS OLIVER</v>
      </c>
      <c r="I477" t="str">
        <f t="shared" si="118"/>
        <v>JOS.O</v>
      </c>
      <c r="J477" t="s">
        <v>42</v>
      </c>
      <c r="K477" t="s">
        <v>3028</v>
      </c>
      <c r="L477" t="s">
        <v>657</v>
      </c>
      <c r="M477" t="s">
        <v>301</v>
      </c>
      <c r="N477">
        <v>44115</v>
      </c>
      <c r="O477" t="str">
        <f t="shared" si="119"/>
        <v>44115</v>
      </c>
      <c r="P477" t="str">
        <f t="shared" si="112"/>
        <v>3294 Glenwood Avenue, Cleveland, OH, 44115</v>
      </c>
      <c r="Q477" t="s">
        <v>3029</v>
      </c>
      <c r="R477" t="str">
        <f t="shared" si="120"/>
        <v>JosephBOliver</v>
      </c>
      <c r="S477" t="str">
        <f t="shared" si="121"/>
        <v>hotmail.com</v>
      </c>
      <c r="T477" t="str">
        <f t="shared" si="122"/>
        <v>hotmail</v>
      </c>
      <c r="U477" t="str">
        <f t="shared" si="123"/>
        <v>JosephBOliver</v>
      </c>
      <c r="V477" t="s">
        <v>3030</v>
      </c>
      <c r="W477" t="str">
        <f t="shared" si="124"/>
        <v>216-</v>
      </c>
      <c r="X477" t="str">
        <f t="shared" si="125"/>
        <v>263</v>
      </c>
      <c r="Y477" t="str">
        <f t="shared" si="126"/>
        <v>-2475</v>
      </c>
      <c r="Z477" t="str">
        <f>SUBSTITUTE(V477,"-","|",2)</f>
        <v>216-263|2475</v>
      </c>
      <c r="AA477" t="str">
        <f>LEFT(V477,3)</f>
        <v>216</v>
      </c>
      <c r="AB477" t="str">
        <f>MID(V477,5,3)</f>
        <v>263</v>
      </c>
      <c r="AC477" t="str">
        <f>RIGHT(V477,4)</f>
        <v>2475</v>
      </c>
      <c r="AD477" s="3" t="s">
        <v>3031</v>
      </c>
      <c r="AE477" s="3" t="str">
        <f t="shared" si="127"/>
        <v>495</v>
      </c>
    </row>
    <row r="478" spans="1:31">
      <c r="A478" t="s">
        <v>2083</v>
      </c>
      <c r="B478" t="str">
        <f t="shared" si="113"/>
        <v>Carl</v>
      </c>
      <c r="C478" t="s">
        <v>30</v>
      </c>
      <c r="D478" t="s">
        <v>3032</v>
      </c>
      <c r="E478" t="str">
        <f t="shared" si="114"/>
        <v>Weis</v>
      </c>
      <c r="F478" t="str">
        <f t="shared" si="115"/>
        <v>CARLWEIS</v>
      </c>
      <c r="G478" t="str">
        <f t="shared" si="116"/>
        <v>CARLWEIS</v>
      </c>
      <c r="H478" t="str">
        <f t="shared" si="117"/>
        <v>CAR WEIS</v>
      </c>
      <c r="I478" t="str">
        <f t="shared" si="118"/>
        <v>CAR.W</v>
      </c>
      <c r="J478" t="s">
        <v>42</v>
      </c>
      <c r="K478" t="s">
        <v>3033</v>
      </c>
      <c r="L478" t="s">
        <v>3034</v>
      </c>
      <c r="M478" t="s">
        <v>897</v>
      </c>
      <c r="N478">
        <v>66438</v>
      </c>
      <c r="O478" t="str">
        <f t="shared" si="119"/>
        <v>66438</v>
      </c>
      <c r="P478" t="str">
        <f t="shared" si="112"/>
        <v>509 Maloy Court, Home, KS, 66438</v>
      </c>
      <c r="Q478" t="s">
        <v>3035</v>
      </c>
      <c r="R478" t="str">
        <f t="shared" si="120"/>
        <v>CarlJWeis</v>
      </c>
      <c r="S478" t="str">
        <f t="shared" si="121"/>
        <v>aol.com</v>
      </c>
      <c r="T478" t="str">
        <f t="shared" si="122"/>
        <v>aol</v>
      </c>
      <c r="U478" t="str">
        <f t="shared" si="123"/>
        <v>CarlJWeis</v>
      </c>
      <c r="V478" t="s">
        <v>3036</v>
      </c>
      <c r="W478" t="str">
        <f t="shared" si="124"/>
        <v>785-</v>
      </c>
      <c r="X478" t="str">
        <f t="shared" si="125"/>
        <v>382</v>
      </c>
      <c r="Y478" t="str">
        <f t="shared" si="126"/>
        <v>-4302</v>
      </c>
      <c r="Z478" t="str">
        <f>SUBSTITUTE(V478,"-","|",2)</f>
        <v>785-382|4302</v>
      </c>
      <c r="AA478" t="str">
        <f>LEFT(V478,3)</f>
        <v>785</v>
      </c>
      <c r="AB478" t="str">
        <f>MID(V478,5,3)</f>
        <v>382</v>
      </c>
      <c r="AC478" t="str">
        <f>RIGHT(V478,4)</f>
        <v>4302</v>
      </c>
      <c r="AD478" s="3" t="s">
        <v>3037</v>
      </c>
      <c r="AE478" s="3" t="str">
        <f t="shared" si="127"/>
        <v>6500</v>
      </c>
    </row>
    <row r="479" spans="1:31">
      <c r="A479" t="s">
        <v>3038</v>
      </c>
      <c r="B479" t="str">
        <f t="shared" si="113"/>
        <v>Norma</v>
      </c>
      <c r="C479" t="s">
        <v>843</v>
      </c>
      <c r="D479" t="s">
        <v>3039</v>
      </c>
      <c r="E479" t="str">
        <f t="shared" si="114"/>
        <v>Folden</v>
      </c>
      <c r="F479" t="str">
        <f t="shared" si="115"/>
        <v>NORMAFOLDEN</v>
      </c>
      <c r="G479" t="str">
        <f t="shared" si="116"/>
        <v>NORMAFOLDEN</v>
      </c>
      <c r="H479" t="str">
        <f t="shared" si="117"/>
        <v>NOR FOLDEN</v>
      </c>
      <c r="I479" t="str">
        <f t="shared" si="118"/>
        <v>NOR.F</v>
      </c>
      <c r="J479" t="s">
        <v>32</v>
      </c>
      <c r="K479" t="s">
        <v>3040</v>
      </c>
      <c r="L479" t="s">
        <v>2397</v>
      </c>
      <c r="M479" t="s">
        <v>45</v>
      </c>
      <c r="N479">
        <v>91502</v>
      </c>
      <c r="O479" t="str">
        <f t="shared" si="119"/>
        <v>91502</v>
      </c>
      <c r="P479" t="str">
        <f t="shared" si="112"/>
        <v>1037 Edsel Road, Burbank, CA, 91502</v>
      </c>
      <c r="Q479" t="s">
        <v>3041</v>
      </c>
      <c r="R479" t="str">
        <f t="shared" si="120"/>
        <v>NormaIFolden</v>
      </c>
      <c r="S479" t="str">
        <f t="shared" si="121"/>
        <v>hotmail.com</v>
      </c>
      <c r="T479" t="str">
        <f t="shared" si="122"/>
        <v>hotmail</v>
      </c>
      <c r="U479" t="str">
        <f t="shared" si="123"/>
        <v>NormaIFolden</v>
      </c>
      <c r="V479" t="s">
        <v>3042</v>
      </c>
      <c r="W479" t="str">
        <f t="shared" si="124"/>
        <v>818-</v>
      </c>
      <c r="X479" t="str">
        <f t="shared" si="125"/>
        <v>488</v>
      </c>
      <c r="Y479" t="str">
        <f t="shared" si="126"/>
        <v>-1368</v>
      </c>
      <c r="Z479" t="str">
        <f>SUBSTITUTE(V479,"-","|",2)</f>
        <v>818-488|1368</v>
      </c>
      <c r="AA479" t="str">
        <f>LEFT(V479,3)</f>
        <v>818</v>
      </c>
      <c r="AB479" t="str">
        <f>MID(V479,5,3)</f>
        <v>488</v>
      </c>
      <c r="AC479" t="str">
        <f>RIGHT(V479,4)</f>
        <v>1368</v>
      </c>
      <c r="AD479" s="3" t="s">
        <v>3043</v>
      </c>
      <c r="AE479" s="3" t="str">
        <f t="shared" si="127"/>
        <v>3929</v>
      </c>
    </row>
    <row r="480" spans="1:31">
      <c r="A480" t="s">
        <v>2910</v>
      </c>
      <c r="B480" t="str">
        <f t="shared" si="113"/>
        <v>Donald</v>
      </c>
      <c r="C480" t="s">
        <v>213</v>
      </c>
      <c r="D480" t="s">
        <v>3044</v>
      </c>
      <c r="E480" t="str">
        <f t="shared" si="114"/>
        <v>Blevins</v>
      </c>
      <c r="F480" t="str">
        <f t="shared" si="115"/>
        <v>DONALDBLEVINS</v>
      </c>
      <c r="G480" t="str">
        <f t="shared" si="116"/>
        <v>DONALDBLEVINS</v>
      </c>
      <c r="H480" t="str">
        <f t="shared" si="117"/>
        <v>DON BLEVINS</v>
      </c>
      <c r="I480" t="str">
        <f t="shared" si="118"/>
        <v>DON.B</v>
      </c>
      <c r="J480" t="s">
        <v>42</v>
      </c>
      <c r="K480" t="s">
        <v>3045</v>
      </c>
      <c r="L480" t="s">
        <v>3046</v>
      </c>
      <c r="M480" t="s">
        <v>482</v>
      </c>
      <c r="N480">
        <v>74120</v>
      </c>
      <c r="O480" t="str">
        <f t="shared" si="119"/>
        <v>74120</v>
      </c>
      <c r="P480" t="str">
        <f t="shared" si="112"/>
        <v>1804 Camel Back Road, Tulsa, OK, 74120</v>
      </c>
      <c r="Q480" t="s">
        <v>3047</v>
      </c>
      <c r="R480" t="str">
        <f t="shared" si="120"/>
        <v>DonaldABlevins</v>
      </c>
      <c r="S480" t="str">
        <f t="shared" si="121"/>
        <v>aol.com</v>
      </c>
      <c r="T480" t="str">
        <f t="shared" si="122"/>
        <v>aol</v>
      </c>
      <c r="U480" t="str">
        <f t="shared" si="123"/>
        <v>DonaldABlevins</v>
      </c>
      <c r="V480" t="s">
        <v>3048</v>
      </c>
      <c r="W480" t="str">
        <f t="shared" si="124"/>
        <v>918-</v>
      </c>
      <c r="X480" t="str">
        <f t="shared" si="125"/>
        <v>581</v>
      </c>
      <c r="Y480" t="str">
        <f t="shared" si="126"/>
        <v>-6967</v>
      </c>
      <c r="Z480" t="str">
        <f>SUBSTITUTE(V480,"-","|",2)</f>
        <v>918-581|6967</v>
      </c>
      <c r="AA480" t="str">
        <f>LEFT(V480,3)</f>
        <v>918</v>
      </c>
      <c r="AB480" t="str">
        <f>MID(V480,5,3)</f>
        <v>581</v>
      </c>
      <c r="AC480" t="str">
        <f>RIGHT(V480,4)</f>
        <v>6967</v>
      </c>
      <c r="AD480" s="3" t="s">
        <v>3049</v>
      </c>
      <c r="AE480" s="3" t="str">
        <f t="shared" si="127"/>
        <v>3494</v>
      </c>
    </row>
    <row r="481" spans="1:31">
      <c r="A481" t="s">
        <v>1037</v>
      </c>
      <c r="B481" t="str">
        <f t="shared" si="113"/>
        <v>Sam</v>
      </c>
      <c r="C481" t="s">
        <v>213</v>
      </c>
      <c r="D481" t="s">
        <v>1821</v>
      </c>
      <c r="E481" t="str">
        <f t="shared" si="114"/>
        <v>Perry</v>
      </c>
      <c r="F481" t="str">
        <f t="shared" si="115"/>
        <v>SAMPERRY</v>
      </c>
      <c r="G481" t="str">
        <f t="shared" si="116"/>
        <v>SAMPERRY</v>
      </c>
      <c r="H481" t="str">
        <f t="shared" si="117"/>
        <v>SAM PERRY</v>
      </c>
      <c r="I481" t="str">
        <f t="shared" si="118"/>
        <v>SAM.P</v>
      </c>
      <c r="J481" t="s">
        <v>42</v>
      </c>
      <c r="K481" t="s">
        <v>3050</v>
      </c>
      <c r="L481" t="s">
        <v>3005</v>
      </c>
      <c r="M481" t="s">
        <v>217</v>
      </c>
      <c r="N481">
        <v>84104</v>
      </c>
      <c r="O481" t="str">
        <f t="shared" si="119"/>
        <v>84104</v>
      </c>
      <c r="P481" t="str">
        <f t="shared" si="112"/>
        <v>4565 Philadelphia Avenue, Salt Lake City, UT, 84104</v>
      </c>
      <c r="Q481" t="s">
        <v>3051</v>
      </c>
      <c r="R481" t="str">
        <f t="shared" si="120"/>
        <v>SamAPerry</v>
      </c>
      <c r="S481" t="str">
        <f t="shared" si="121"/>
        <v>hotmail.com</v>
      </c>
      <c r="T481" t="str">
        <f t="shared" si="122"/>
        <v>hotmail</v>
      </c>
      <c r="U481" t="str">
        <f t="shared" si="123"/>
        <v>SamAPerry</v>
      </c>
      <c r="V481" t="s">
        <v>3052</v>
      </c>
      <c r="W481" t="str">
        <f t="shared" si="124"/>
        <v>801-</v>
      </c>
      <c r="X481" t="str">
        <f t="shared" si="125"/>
        <v>301</v>
      </c>
      <c r="Y481" t="str">
        <f t="shared" si="126"/>
        <v>-3595</v>
      </c>
      <c r="Z481" t="str">
        <f>SUBSTITUTE(V481,"-","|",2)</f>
        <v>801-301|3595</v>
      </c>
      <c r="AA481" t="str">
        <f>LEFT(V481,3)</f>
        <v>801</v>
      </c>
      <c r="AB481" t="str">
        <f>MID(V481,5,3)</f>
        <v>301</v>
      </c>
      <c r="AC481" t="str">
        <f>RIGHT(V481,4)</f>
        <v>3595</v>
      </c>
      <c r="AD481" s="3" t="s">
        <v>3053</v>
      </c>
      <c r="AE481" s="3" t="str">
        <f t="shared" si="127"/>
        <v>836</v>
      </c>
    </row>
    <row r="482" spans="1:31">
      <c r="A482" t="s">
        <v>2751</v>
      </c>
      <c r="B482" t="str">
        <f t="shared" si="113"/>
        <v>Frances</v>
      </c>
      <c r="C482" t="s">
        <v>40</v>
      </c>
      <c r="D482" t="s">
        <v>3054</v>
      </c>
      <c r="E482" t="str">
        <f t="shared" si="114"/>
        <v>Coleman</v>
      </c>
      <c r="F482" t="str">
        <f t="shared" si="115"/>
        <v>FRANCESCOLEMAN</v>
      </c>
      <c r="G482" t="str">
        <f t="shared" si="116"/>
        <v>FRANCESCOLEMAN</v>
      </c>
      <c r="H482" t="str">
        <f t="shared" si="117"/>
        <v>FRA COLEMAN</v>
      </c>
      <c r="I482" t="str">
        <f t="shared" si="118"/>
        <v>FRA.C</v>
      </c>
      <c r="J482" t="s">
        <v>32</v>
      </c>
      <c r="K482" t="s">
        <v>3055</v>
      </c>
      <c r="L482" t="s">
        <v>3056</v>
      </c>
      <c r="M482" t="s">
        <v>62</v>
      </c>
      <c r="N482">
        <v>23502</v>
      </c>
      <c r="O482" t="str">
        <f t="shared" si="119"/>
        <v>23502</v>
      </c>
      <c r="P482" t="str">
        <f t="shared" si="112"/>
        <v>2198 Pinchelone Street, Norfolk, VA, 23502</v>
      </c>
      <c r="Q482" t="s">
        <v>3057</v>
      </c>
      <c r="R482" t="str">
        <f t="shared" si="120"/>
        <v>FrancesSColeman</v>
      </c>
      <c r="S482" t="str">
        <f t="shared" si="121"/>
        <v>gmail.com</v>
      </c>
      <c r="T482" t="str">
        <f t="shared" si="122"/>
        <v>gmail</v>
      </c>
      <c r="U482" t="str">
        <f t="shared" si="123"/>
        <v>FrancesSColeman</v>
      </c>
      <c r="V482" t="s">
        <v>3058</v>
      </c>
      <c r="W482" t="str">
        <f t="shared" si="124"/>
        <v>757-</v>
      </c>
      <c r="X482" t="str">
        <f t="shared" si="125"/>
        <v>371</v>
      </c>
      <c r="Y482" t="str">
        <f t="shared" si="126"/>
        <v>-8587</v>
      </c>
      <c r="Z482" t="str">
        <f>SUBSTITUTE(V482,"-","|",2)</f>
        <v>757-371|8587</v>
      </c>
      <c r="AA482" t="str">
        <f>LEFT(V482,3)</f>
        <v>757</v>
      </c>
      <c r="AB482" t="str">
        <f>MID(V482,5,3)</f>
        <v>371</v>
      </c>
      <c r="AC482" t="str">
        <f>RIGHT(V482,4)</f>
        <v>8587</v>
      </c>
      <c r="AD482" s="3" t="s">
        <v>3059</v>
      </c>
      <c r="AE482" s="3" t="str">
        <f t="shared" si="127"/>
        <v>114</v>
      </c>
    </row>
    <row r="483" spans="1:31">
      <c r="A483" t="s">
        <v>471</v>
      </c>
      <c r="B483" t="str">
        <f t="shared" si="113"/>
        <v>David</v>
      </c>
      <c r="C483" t="s">
        <v>40</v>
      </c>
      <c r="D483" t="s">
        <v>431</v>
      </c>
      <c r="E483" t="str">
        <f t="shared" si="114"/>
        <v>Williams</v>
      </c>
      <c r="F483" t="str">
        <f t="shared" si="115"/>
        <v>DAVIDWILLIAMS</v>
      </c>
      <c r="G483" t="str">
        <f t="shared" si="116"/>
        <v>DAVIDWILLIAMS</v>
      </c>
      <c r="H483" t="str">
        <f t="shared" si="117"/>
        <v>DAV WILLIAMS</v>
      </c>
      <c r="I483" t="str">
        <f t="shared" si="118"/>
        <v>DAV.W</v>
      </c>
      <c r="J483" t="s">
        <v>42</v>
      </c>
      <c r="K483" t="s">
        <v>3060</v>
      </c>
      <c r="L483" t="s">
        <v>3061</v>
      </c>
      <c r="M483" t="s">
        <v>45</v>
      </c>
      <c r="N483">
        <v>95204</v>
      </c>
      <c r="O483" t="str">
        <f t="shared" si="119"/>
        <v>95204</v>
      </c>
      <c r="P483" t="str">
        <f t="shared" si="112"/>
        <v>1202 Freed Drive, Stockton, CA, 95204</v>
      </c>
      <c r="Q483" t="s">
        <v>3062</v>
      </c>
      <c r="R483" t="str">
        <f t="shared" si="120"/>
        <v>DavidSWilliams</v>
      </c>
      <c r="S483" t="str">
        <f t="shared" si="121"/>
        <v>gmail.com</v>
      </c>
      <c r="T483" t="str">
        <f t="shared" si="122"/>
        <v>gmail</v>
      </c>
      <c r="U483" t="str">
        <f t="shared" si="123"/>
        <v>DavidSWilliams</v>
      </c>
      <c r="V483" t="s">
        <v>3063</v>
      </c>
      <c r="W483" t="str">
        <f t="shared" si="124"/>
        <v>209-</v>
      </c>
      <c r="X483" t="str">
        <f t="shared" si="125"/>
        <v>774</v>
      </c>
      <c r="Y483" t="str">
        <f t="shared" si="126"/>
        <v>-2113</v>
      </c>
      <c r="Z483" t="str">
        <f>SUBSTITUTE(V483,"-","|",2)</f>
        <v>209-774|2113</v>
      </c>
      <c r="AA483" t="str">
        <f>LEFT(V483,3)</f>
        <v>209</v>
      </c>
      <c r="AB483" t="str">
        <f>MID(V483,5,3)</f>
        <v>774</v>
      </c>
      <c r="AC483" t="str">
        <f>RIGHT(V483,4)</f>
        <v>2113</v>
      </c>
      <c r="AD483" s="3" t="s">
        <v>3064</v>
      </c>
      <c r="AE483" s="3" t="str">
        <f t="shared" si="127"/>
        <v>861</v>
      </c>
    </row>
    <row r="484" spans="1:31">
      <c r="A484" t="s">
        <v>3065</v>
      </c>
      <c r="B484" t="str">
        <f t="shared" si="113"/>
        <v>Madeline</v>
      </c>
      <c r="C484" t="s">
        <v>297</v>
      </c>
      <c r="D484" t="s">
        <v>3066</v>
      </c>
      <c r="E484" t="str">
        <f t="shared" si="114"/>
        <v>Headley</v>
      </c>
      <c r="F484" t="str">
        <f t="shared" si="115"/>
        <v>MADELINEHEADLEY</v>
      </c>
      <c r="G484" t="str">
        <f t="shared" si="116"/>
        <v>MADELINEHEADLEY</v>
      </c>
      <c r="H484" t="str">
        <f t="shared" si="117"/>
        <v>MAD HEADLEY</v>
      </c>
      <c r="I484" t="str">
        <f t="shared" si="118"/>
        <v>MAD.H</v>
      </c>
      <c r="J484" t="s">
        <v>32</v>
      </c>
      <c r="K484" t="s">
        <v>3067</v>
      </c>
      <c r="L484" t="s">
        <v>3068</v>
      </c>
      <c r="M484" t="s">
        <v>104</v>
      </c>
      <c r="N484">
        <v>13411</v>
      </c>
      <c r="O484" t="str">
        <f t="shared" si="119"/>
        <v>13411</v>
      </c>
      <c r="P484" t="str">
        <f t="shared" si="112"/>
        <v>844 Browning Lane, New Berlin, NY, 13411</v>
      </c>
      <c r="Q484" t="s">
        <v>3069</v>
      </c>
      <c r="R484" t="str">
        <f t="shared" si="120"/>
        <v>MadelineTHeadley</v>
      </c>
      <c r="S484" t="str">
        <f t="shared" si="121"/>
        <v>aol.com</v>
      </c>
      <c r="T484" t="str">
        <f t="shared" si="122"/>
        <v>aol</v>
      </c>
      <c r="U484" t="str">
        <f t="shared" si="123"/>
        <v>MadelineTHeadley</v>
      </c>
      <c r="V484" t="s">
        <v>3070</v>
      </c>
      <c r="W484" t="str">
        <f t="shared" si="124"/>
        <v>607-</v>
      </c>
      <c r="X484" t="str">
        <f t="shared" si="125"/>
        <v>847</v>
      </c>
      <c r="Y484" t="str">
        <f t="shared" si="126"/>
        <v>-7803</v>
      </c>
      <c r="Z484" t="str">
        <f>SUBSTITUTE(V484,"-","|",2)</f>
        <v>607-847|7803</v>
      </c>
      <c r="AA484" t="str">
        <f>LEFT(V484,3)</f>
        <v>607</v>
      </c>
      <c r="AB484" t="str">
        <f>MID(V484,5,3)</f>
        <v>847</v>
      </c>
      <c r="AC484" t="str">
        <f>RIGHT(V484,4)</f>
        <v>7803</v>
      </c>
      <c r="AD484" s="3" t="s">
        <v>3071</v>
      </c>
      <c r="AE484" s="3" t="str">
        <f t="shared" si="127"/>
        <v>7789</v>
      </c>
    </row>
    <row r="485" spans="1:31">
      <c r="A485" t="s">
        <v>479</v>
      </c>
      <c r="B485" t="str">
        <f t="shared" si="113"/>
        <v>Gilbert</v>
      </c>
      <c r="C485" t="s">
        <v>141</v>
      </c>
      <c r="D485" t="s">
        <v>3003</v>
      </c>
      <c r="E485" t="str">
        <f t="shared" si="114"/>
        <v>Dawson</v>
      </c>
      <c r="F485" t="str">
        <f t="shared" si="115"/>
        <v>GILBERTDAWSON</v>
      </c>
      <c r="G485" t="str">
        <f t="shared" si="116"/>
        <v>GILBERTDAWSON</v>
      </c>
      <c r="H485" t="str">
        <f t="shared" si="117"/>
        <v>GIL DAWSON</v>
      </c>
      <c r="I485" t="str">
        <f t="shared" si="118"/>
        <v>GIL.D</v>
      </c>
      <c r="J485" t="s">
        <v>42</v>
      </c>
      <c r="K485" t="s">
        <v>3072</v>
      </c>
      <c r="L485" t="s">
        <v>185</v>
      </c>
      <c r="M485" t="s">
        <v>35</v>
      </c>
      <c r="N485">
        <v>60610</v>
      </c>
      <c r="O485" t="str">
        <f t="shared" si="119"/>
        <v>60610</v>
      </c>
      <c r="P485" t="str">
        <f t="shared" si="112"/>
        <v>1032 Cecil Street, Chicago, IL, 60610</v>
      </c>
      <c r="Q485" t="s">
        <v>3073</v>
      </c>
      <c r="R485" t="str">
        <f t="shared" si="120"/>
        <v>GilbertEDawson</v>
      </c>
      <c r="S485" t="str">
        <f t="shared" si="121"/>
        <v>aol.com</v>
      </c>
      <c r="T485" t="str">
        <f t="shared" si="122"/>
        <v>aol</v>
      </c>
      <c r="U485" t="str">
        <f t="shared" si="123"/>
        <v>GilbertEDawson</v>
      </c>
      <c r="V485" t="s">
        <v>3074</v>
      </c>
      <c r="W485" t="str">
        <f t="shared" si="124"/>
        <v>312-</v>
      </c>
      <c r="X485" t="str">
        <f t="shared" si="125"/>
        <v>274</v>
      </c>
      <c r="Y485" t="str">
        <f t="shared" si="126"/>
        <v>-6550</v>
      </c>
      <c r="Z485" t="str">
        <f>SUBSTITUTE(V485,"-","|",2)</f>
        <v>312-274|6550</v>
      </c>
      <c r="AA485" t="str">
        <f>LEFT(V485,3)</f>
        <v>312</v>
      </c>
      <c r="AB485" t="str">
        <f>MID(V485,5,3)</f>
        <v>274</v>
      </c>
      <c r="AC485" t="str">
        <f>RIGHT(V485,4)</f>
        <v>6550</v>
      </c>
      <c r="AD485" s="3" t="s">
        <v>3075</v>
      </c>
      <c r="AE485" s="3" t="str">
        <f t="shared" si="127"/>
        <v>500</v>
      </c>
    </row>
    <row r="486" spans="1:31">
      <c r="A486" t="s">
        <v>1269</v>
      </c>
      <c r="B486" t="str">
        <f t="shared" si="113"/>
        <v>William</v>
      </c>
      <c r="C486" t="s">
        <v>58</v>
      </c>
      <c r="D486" t="s">
        <v>3076</v>
      </c>
      <c r="E486" t="str">
        <f t="shared" si="114"/>
        <v>Barber</v>
      </c>
      <c r="F486" t="str">
        <f t="shared" si="115"/>
        <v>WILLIAMBARBER</v>
      </c>
      <c r="G486" t="str">
        <f t="shared" si="116"/>
        <v>WILLIAMBARBER</v>
      </c>
      <c r="H486" t="str">
        <f t="shared" si="117"/>
        <v>WIL BARBER</v>
      </c>
      <c r="I486" t="str">
        <f t="shared" si="118"/>
        <v>WIL.B</v>
      </c>
      <c r="J486" t="s">
        <v>42</v>
      </c>
      <c r="K486" t="s">
        <v>3077</v>
      </c>
      <c r="L486" t="s">
        <v>3078</v>
      </c>
      <c r="M486" t="s">
        <v>441</v>
      </c>
      <c r="N486">
        <v>80227</v>
      </c>
      <c r="O486" t="str">
        <f t="shared" si="119"/>
        <v>80227</v>
      </c>
      <c r="P486" t="str">
        <f t="shared" si="112"/>
        <v>591 Tavern Place, Lakewood, CO, 80227</v>
      </c>
      <c r="Q486" t="s">
        <v>3079</v>
      </c>
      <c r="R486" t="str">
        <f t="shared" si="120"/>
        <v>WilliamMBarber</v>
      </c>
      <c r="S486" t="str">
        <f t="shared" si="121"/>
        <v>aol.com</v>
      </c>
      <c r="T486" t="str">
        <f t="shared" si="122"/>
        <v>aol</v>
      </c>
      <c r="U486" t="str">
        <f t="shared" si="123"/>
        <v>WilliamMBarber</v>
      </c>
      <c r="V486" t="s">
        <v>3080</v>
      </c>
      <c r="W486" t="str">
        <f t="shared" si="124"/>
        <v>303-</v>
      </c>
      <c r="X486" t="str">
        <f t="shared" si="125"/>
        <v>986</v>
      </c>
      <c r="Y486" t="str">
        <f t="shared" si="126"/>
        <v>-6439</v>
      </c>
      <c r="Z486" t="str">
        <f>SUBSTITUTE(V486,"-","|",2)</f>
        <v>303-986|6439</v>
      </c>
      <c r="AA486" t="str">
        <f>LEFT(V486,3)</f>
        <v>303</v>
      </c>
      <c r="AB486" t="str">
        <f>MID(V486,5,3)</f>
        <v>986</v>
      </c>
      <c r="AC486" t="str">
        <f>RIGHT(V486,4)</f>
        <v>6439</v>
      </c>
      <c r="AD486" s="3" t="s">
        <v>3081</v>
      </c>
      <c r="AE486" s="3" t="str">
        <f t="shared" si="127"/>
        <v>4134</v>
      </c>
    </row>
    <row r="487" spans="1:31">
      <c r="A487" t="s">
        <v>3082</v>
      </c>
      <c r="B487" t="str">
        <f t="shared" si="113"/>
        <v>Leland</v>
      </c>
      <c r="C487" t="s">
        <v>30</v>
      </c>
      <c r="D487" t="s">
        <v>2121</v>
      </c>
      <c r="E487" t="str">
        <f t="shared" si="114"/>
        <v>Lee</v>
      </c>
      <c r="F487" t="str">
        <f t="shared" si="115"/>
        <v>LELANDLEE</v>
      </c>
      <c r="G487" t="str">
        <f t="shared" si="116"/>
        <v>LELANDLEE</v>
      </c>
      <c r="H487" t="str">
        <f t="shared" si="117"/>
        <v>LEL LEE</v>
      </c>
      <c r="I487" t="str">
        <f t="shared" si="118"/>
        <v>LEL.L</v>
      </c>
      <c r="J487" t="s">
        <v>42</v>
      </c>
      <c r="K487" t="s">
        <v>3083</v>
      </c>
      <c r="L487" t="s">
        <v>643</v>
      </c>
      <c r="M487" t="s">
        <v>96</v>
      </c>
      <c r="N487">
        <v>35203</v>
      </c>
      <c r="O487" t="str">
        <f t="shared" si="119"/>
        <v>35203</v>
      </c>
      <c r="P487" t="str">
        <f t="shared" si="112"/>
        <v>2636 Broad Street, Birmingham, AL, 35203</v>
      </c>
      <c r="Q487" t="s">
        <v>3084</v>
      </c>
      <c r="R487" t="str">
        <f t="shared" si="120"/>
        <v>LelandJLee</v>
      </c>
      <c r="S487" t="str">
        <f t="shared" si="121"/>
        <v>aol.com</v>
      </c>
      <c r="T487" t="str">
        <f t="shared" si="122"/>
        <v>aol</v>
      </c>
      <c r="U487" t="str">
        <f t="shared" si="123"/>
        <v>LelandJLee</v>
      </c>
      <c r="V487" t="s">
        <v>3085</v>
      </c>
      <c r="W487" t="str">
        <f t="shared" si="124"/>
        <v>205-</v>
      </c>
      <c r="X487" t="str">
        <f t="shared" si="125"/>
        <v>442</v>
      </c>
      <c r="Y487" t="str">
        <f t="shared" si="126"/>
        <v>-9042</v>
      </c>
      <c r="Z487" t="str">
        <f>SUBSTITUTE(V487,"-","|",2)</f>
        <v>205-442|9042</v>
      </c>
      <c r="AA487" t="str">
        <f>LEFT(V487,3)</f>
        <v>205</v>
      </c>
      <c r="AB487" t="str">
        <f>MID(V487,5,3)</f>
        <v>442</v>
      </c>
      <c r="AC487" t="str">
        <f>RIGHT(V487,4)</f>
        <v>9042</v>
      </c>
      <c r="AD487" s="3" t="s">
        <v>3086</v>
      </c>
      <c r="AE487" s="3" t="str">
        <f t="shared" si="127"/>
        <v>7956</v>
      </c>
    </row>
    <row r="488" spans="1:31">
      <c r="A488" t="s">
        <v>237</v>
      </c>
      <c r="B488" t="str">
        <f t="shared" si="113"/>
        <v>Taylor</v>
      </c>
      <c r="C488" t="s">
        <v>58</v>
      </c>
      <c r="D488" t="s">
        <v>754</v>
      </c>
      <c r="E488" t="str">
        <f t="shared" si="114"/>
        <v>Young</v>
      </c>
      <c r="F488" t="str">
        <f t="shared" si="115"/>
        <v>TAYLORYOUNG</v>
      </c>
      <c r="G488" t="str">
        <f t="shared" si="116"/>
        <v>TAYLORYOUNG</v>
      </c>
      <c r="H488" t="str">
        <f t="shared" si="117"/>
        <v>TAY YOUNG</v>
      </c>
      <c r="I488" t="str">
        <f t="shared" si="118"/>
        <v>TAY.Y</v>
      </c>
      <c r="J488" t="s">
        <v>42</v>
      </c>
      <c r="K488" t="s">
        <v>3087</v>
      </c>
      <c r="L488" t="s">
        <v>3088</v>
      </c>
      <c r="M488" t="s">
        <v>35</v>
      </c>
      <c r="N488">
        <v>61301</v>
      </c>
      <c r="O488" t="str">
        <f t="shared" si="119"/>
        <v>61301</v>
      </c>
      <c r="P488" t="str">
        <f t="shared" si="112"/>
        <v>151 Emeral Dreams Drive, La Salle, IL, 61301</v>
      </c>
      <c r="Q488" t="s">
        <v>3089</v>
      </c>
      <c r="R488" t="str">
        <f t="shared" si="120"/>
        <v>TaylorMYoung</v>
      </c>
      <c r="S488" t="str">
        <f t="shared" si="121"/>
        <v>gmail.com</v>
      </c>
      <c r="T488" t="str">
        <f t="shared" si="122"/>
        <v>gmail</v>
      </c>
      <c r="U488" t="str">
        <f t="shared" si="123"/>
        <v>TaylorMYoung</v>
      </c>
      <c r="V488" t="s">
        <v>3090</v>
      </c>
      <c r="W488" t="str">
        <f t="shared" si="124"/>
        <v>815-</v>
      </c>
      <c r="X488" t="str">
        <f t="shared" si="125"/>
        <v>224</v>
      </c>
      <c r="Y488" t="str">
        <f t="shared" si="126"/>
        <v>-1168</v>
      </c>
      <c r="Z488" t="str">
        <f>SUBSTITUTE(V488,"-","|",2)</f>
        <v>815-224|1168</v>
      </c>
      <c r="AA488" t="str">
        <f>LEFT(V488,3)</f>
        <v>815</v>
      </c>
      <c r="AB488" t="str">
        <f>MID(V488,5,3)</f>
        <v>224</v>
      </c>
      <c r="AC488" t="str">
        <f>RIGHT(V488,4)</f>
        <v>1168</v>
      </c>
      <c r="AD488" s="3" t="s">
        <v>3091</v>
      </c>
      <c r="AE488" s="3" t="str">
        <f t="shared" si="127"/>
        <v>0445</v>
      </c>
    </row>
    <row r="489" spans="1:31">
      <c r="A489" t="s">
        <v>1301</v>
      </c>
      <c r="B489" t="str">
        <f t="shared" si="113"/>
        <v>Lucy</v>
      </c>
      <c r="C489" t="s">
        <v>67</v>
      </c>
      <c r="D489" t="s">
        <v>3092</v>
      </c>
      <c r="E489" t="str">
        <f t="shared" si="114"/>
        <v>Delgado</v>
      </c>
      <c r="F489" t="str">
        <f t="shared" si="115"/>
        <v>LUCYDELGADO</v>
      </c>
      <c r="G489" t="str">
        <f t="shared" si="116"/>
        <v>LUCYDELGADO</v>
      </c>
      <c r="H489" t="str">
        <f t="shared" si="117"/>
        <v>LUC DELGADO</v>
      </c>
      <c r="I489" t="str">
        <f t="shared" si="118"/>
        <v>LUC.D</v>
      </c>
      <c r="J489" t="s">
        <v>32</v>
      </c>
      <c r="K489" t="s">
        <v>3093</v>
      </c>
      <c r="L489" t="s">
        <v>3094</v>
      </c>
      <c r="M489" t="s">
        <v>3095</v>
      </c>
      <c r="N489">
        <v>88113</v>
      </c>
      <c r="O489" t="str">
        <f t="shared" si="119"/>
        <v>88113</v>
      </c>
      <c r="P489" t="str">
        <f t="shared" si="112"/>
        <v>242 Byrd Lane, Causey, NM, 88113</v>
      </c>
      <c r="Q489" t="s">
        <v>3096</v>
      </c>
      <c r="R489" t="str">
        <f t="shared" si="120"/>
        <v>LucyDDelgado</v>
      </c>
      <c r="S489" t="str">
        <f t="shared" si="121"/>
        <v>aol.com</v>
      </c>
      <c r="T489" t="str">
        <f t="shared" si="122"/>
        <v>aol</v>
      </c>
      <c r="U489" t="str">
        <f t="shared" si="123"/>
        <v>LucyDDelgado</v>
      </c>
      <c r="V489" t="s">
        <v>3097</v>
      </c>
      <c r="W489" t="str">
        <f t="shared" si="124"/>
        <v>505-</v>
      </c>
      <c r="X489" t="str">
        <f t="shared" si="125"/>
        <v>273</v>
      </c>
      <c r="Y489" t="str">
        <f t="shared" si="126"/>
        <v>-1301</v>
      </c>
      <c r="Z489" t="str">
        <f>SUBSTITUTE(V489,"-","|",2)</f>
        <v>505-273|1301</v>
      </c>
      <c r="AA489" t="str">
        <f>LEFT(V489,3)</f>
        <v>505</v>
      </c>
      <c r="AB489" t="str">
        <f>MID(V489,5,3)</f>
        <v>273</v>
      </c>
      <c r="AC489" t="str">
        <f>RIGHT(V489,4)</f>
        <v>1301</v>
      </c>
      <c r="AD489" s="3" t="s">
        <v>3098</v>
      </c>
      <c r="AE489" s="3" t="str">
        <f t="shared" si="127"/>
        <v>5400</v>
      </c>
    </row>
    <row r="490" spans="1:31">
      <c r="A490" t="s">
        <v>3099</v>
      </c>
      <c r="B490" t="str">
        <f t="shared" si="113"/>
        <v>Tom</v>
      </c>
      <c r="C490" t="s">
        <v>67</v>
      </c>
      <c r="D490" t="s">
        <v>3100</v>
      </c>
      <c r="E490" t="str">
        <f t="shared" si="114"/>
        <v>Webb</v>
      </c>
      <c r="F490" t="str">
        <f t="shared" si="115"/>
        <v>TOMWEBB</v>
      </c>
      <c r="G490" t="str">
        <f t="shared" si="116"/>
        <v>TOMWEBB</v>
      </c>
      <c r="H490" t="str">
        <f t="shared" si="117"/>
        <v>TOM WEBB</v>
      </c>
      <c r="I490" t="str">
        <f t="shared" si="118"/>
        <v>TOM.W</v>
      </c>
      <c r="J490" t="s">
        <v>42</v>
      </c>
      <c r="K490" t="s">
        <v>3101</v>
      </c>
      <c r="L490" t="s">
        <v>3102</v>
      </c>
      <c r="M490" t="s">
        <v>1354</v>
      </c>
      <c r="N490">
        <v>59258</v>
      </c>
      <c r="O490" t="str">
        <f t="shared" si="119"/>
        <v>59258</v>
      </c>
      <c r="P490" t="str">
        <f t="shared" si="112"/>
        <v>2451 Richison Drive, Reserve, MT, 59258</v>
      </c>
      <c r="Q490" t="s">
        <v>3103</v>
      </c>
      <c r="R490" t="str">
        <f t="shared" si="120"/>
        <v>TomDWebb</v>
      </c>
      <c r="S490" t="str">
        <f t="shared" si="121"/>
        <v>gmail.com</v>
      </c>
      <c r="T490" t="str">
        <f t="shared" si="122"/>
        <v>gmail</v>
      </c>
      <c r="U490" t="str">
        <f t="shared" si="123"/>
        <v>TomDWebb</v>
      </c>
      <c r="V490" t="s">
        <v>3104</v>
      </c>
      <c r="W490" t="str">
        <f t="shared" si="124"/>
        <v>406-</v>
      </c>
      <c r="X490" t="str">
        <f t="shared" si="125"/>
        <v>286</v>
      </c>
      <c r="Y490" t="str">
        <f t="shared" si="126"/>
        <v>-3178</v>
      </c>
      <c r="Z490" t="str">
        <f>SUBSTITUTE(V490,"-","|",2)</f>
        <v>406-286|3178</v>
      </c>
      <c r="AA490" t="str">
        <f>LEFT(V490,3)</f>
        <v>406</v>
      </c>
      <c r="AB490" t="str">
        <f>MID(V490,5,3)</f>
        <v>286</v>
      </c>
      <c r="AC490" t="str">
        <f>RIGHT(V490,4)</f>
        <v>3178</v>
      </c>
      <c r="AD490" s="3" t="s">
        <v>3105</v>
      </c>
      <c r="AE490" s="3" t="str">
        <f t="shared" si="127"/>
        <v>084</v>
      </c>
    </row>
    <row r="491" spans="1:31">
      <c r="A491" t="s">
        <v>1687</v>
      </c>
      <c r="B491" t="str">
        <f t="shared" si="113"/>
        <v>Frank</v>
      </c>
      <c r="C491" t="s">
        <v>166</v>
      </c>
      <c r="D491" t="s">
        <v>1834</v>
      </c>
      <c r="E491" t="str">
        <f t="shared" si="114"/>
        <v>Olson</v>
      </c>
      <c r="F491" t="str">
        <f t="shared" si="115"/>
        <v>FRANKOLSON</v>
      </c>
      <c r="G491" t="str">
        <f t="shared" si="116"/>
        <v>FRANKOLSON</v>
      </c>
      <c r="H491" t="str">
        <f t="shared" si="117"/>
        <v>FRA OLSON</v>
      </c>
      <c r="I491" t="str">
        <f t="shared" si="118"/>
        <v>FRA.O</v>
      </c>
      <c r="J491" t="s">
        <v>42</v>
      </c>
      <c r="K491" t="s">
        <v>3106</v>
      </c>
      <c r="L491" t="s">
        <v>1157</v>
      </c>
      <c r="M491" t="s">
        <v>104</v>
      </c>
      <c r="N491">
        <v>10011</v>
      </c>
      <c r="O491" t="str">
        <f t="shared" si="119"/>
        <v>10011</v>
      </c>
      <c r="P491" t="str">
        <f t="shared" si="112"/>
        <v>129 Benedum Drive, New York, NY, 10011</v>
      </c>
      <c r="Q491" t="s">
        <v>3107</v>
      </c>
      <c r="R491" t="str">
        <f t="shared" si="120"/>
        <v>FrankBOlson</v>
      </c>
      <c r="S491" t="str">
        <f t="shared" si="121"/>
        <v>hotmail.com</v>
      </c>
      <c r="T491" t="str">
        <f t="shared" si="122"/>
        <v>hotmail</v>
      </c>
      <c r="U491" t="str">
        <f t="shared" si="123"/>
        <v>FrankBOlson</v>
      </c>
      <c r="V491" t="s">
        <v>3108</v>
      </c>
      <c r="W491" t="str">
        <f t="shared" si="124"/>
        <v>845-</v>
      </c>
      <c r="X491" t="str">
        <f t="shared" si="125"/>
        <v>367</v>
      </c>
      <c r="Y491" t="str">
        <f t="shared" si="126"/>
        <v>-9542</v>
      </c>
      <c r="Z491" t="str">
        <f>SUBSTITUTE(V491,"-","|",2)</f>
        <v>845-367|9542</v>
      </c>
      <c r="AA491" t="str">
        <f>LEFT(V491,3)</f>
        <v>845</v>
      </c>
      <c r="AB491" t="str">
        <f>MID(V491,5,3)</f>
        <v>367</v>
      </c>
      <c r="AC491" t="str">
        <f>RIGHT(V491,4)</f>
        <v>9542</v>
      </c>
      <c r="AD491" s="3" t="s">
        <v>3109</v>
      </c>
      <c r="AE491" s="3" t="str">
        <f t="shared" si="127"/>
        <v>370</v>
      </c>
    </row>
    <row r="492" spans="1:31">
      <c r="A492" t="s">
        <v>808</v>
      </c>
      <c r="B492" t="str">
        <f t="shared" si="113"/>
        <v>Kevin</v>
      </c>
      <c r="C492" t="s">
        <v>58</v>
      </c>
      <c r="D492" t="s">
        <v>3110</v>
      </c>
      <c r="E492" t="str">
        <f t="shared" si="114"/>
        <v>Tong</v>
      </c>
      <c r="F492" t="str">
        <f t="shared" si="115"/>
        <v>KEVINTONG</v>
      </c>
      <c r="G492" t="str">
        <f t="shared" si="116"/>
        <v>KEVINTONG</v>
      </c>
      <c r="H492" t="str">
        <f t="shared" si="117"/>
        <v>KEV TONG</v>
      </c>
      <c r="I492" t="str">
        <f t="shared" si="118"/>
        <v>KEV.T</v>
      </c>
      <c r="J492" t="s">
        <v>42</v>
      </c>
      <c r="K492" t="s">
        <v>3111</v>
      </c>
      <c r="L492" t="s">
        <v>2372</v>
      </c>
      <c r="M492" t="s">
        <v>301</v>
      </c>
      <c r="N492">
        <v>43613</v>
      </c>
      <c r="O492" t="str">
        <f t="shared" si="119"/>
        <v>43613</v>
      </c>
      <c r="P492" t="str">
        <f t="shared" si="112"/>
        <v>4750 Cedarstone Drive, Toledo, OH, 43613</v>
      </c>
      <c r="Q492" t="s">
        <v>3112</v>
      </c>
      <c r="R492" t="str">
        <f t="shared" si="120"/>
        <v>KevinMTong</v>
      </c>
      <c r="S492" t="str">
        <f t="shared" si="121"/>
        <v>gmail.com</v>
      </c>
      <c r="T492" t="str">
        <f t="shared" si="122"/>
        <v>gmail</v>
      </c>
      <c r="U492" t="str">
        <f t="shared" si="123"/>
        <v>KevinMTong</v>
      </c>
      <c r="V492" t="s">
        <v>3113</v>
      </c>
      <c r="W492" t="str">
        <f t="shared" si="124"/>
        <v>419-</v>
      </c>
      <c r="X492" t="str">
        <f t="shared" si="125"/>
        <v>407</v>
      </c>
      <c r="Y492" t="str">
        <f t="shared" si="126"/>
        <v>-5401</v>
      </c>
      <c r="Z492" t="str">
        <f>SUBSTITUTE(V492,"-","|",2)</f>
        <v>419-407|5401</v>
      </c>
      <c r="AA492" t="str">
        <f>LEFT(V492,3)</f>
        <v>419</v>
      </c>
      <c r="AB492" t="str">
        <f>MID(V492,5,3)</f>
        <v>407</v>
      </c>
      <c r="AC492" t="str">
        <f>RIGHT(V492,4)</f>
        <v>5401</v>
      </c>
      <c r="AD492" s="3" t="s">
        <v>3114</v>
      </c>
      <c r="AE492" s="3" t="str">
        <f t="shared" si="127"/>
        <v>6791</v>
      </c>
    </row>
    <row r="493" spans="1:31">
      <c r="A493" t="s">
        <v>2127</v>
      </c>
      <c r="B493" t="str">
        <f t="shared" si="113"/>
        <v>Amy</v>
      </c>
      <c r="C493" t="s">
        <v>30</v>
      </c>
      <c r="D493" t="s">
        <v>3115</v>
      </c>
      <c r="E493" t="str">
        <f t="shared" si="114"/>
        <v>Carpenter</v>
      </c>
      <c r="F493" t="str">
        <f t="shared" si="115"/>
        <v>AMYCARPENTER</v>
      </c>
      <c r="G493" t="str">
        <f t="shared" si="116"/>
        <v>AMYCARPENTER</v>
      </c>
      <c r="H493" t="str">
        <f t="shared" si="117"/>
        <v>AMY CARPENTER</v>
      </c>
      <c r="I493" t="str">
        <f t="shared" si="118"/>
        <v>AMY.C</v>
      </c>
      <c r="J493" t="s">
        <v>32</v>
      </c>
      <c r="K493" t="s">
        <v>3116</v>
      </c>
      <c r="L493" t="s">
        <v>3117</v>
      </c>
      <c r="M493" t="s">
        <v>96</v>
      </c>
      <c r="N493">
        <v>36104</v>
      </c>
      <c r="O493" t="str">
        <f t="shared" si="119"/>
        <v>36104</v>
      </c>
      <c r="P493" t="str">
        <f t="shared" si="112"/>
        <v>912 Turkey Pen Lane, Montgomery, AL, 36104</v>
      </c>
      <c r="Q493" t="s">
        <v>3118</v>
      </c>
      <c r="R493" t="str">
        <f t="shared" si="120"/>
        <v>AmyJCarpenter</v>
      </c>
      <c r="S493" t="str">
        <f t="shared" si="121"/>
        <v>aol.com</v>
      </c>
      <c r="T493" t="str">
        <f t="shared" si="122"/>
        <v>aol</v>
      </c>
      <c r="U493" t="str">
        <f t="shared" si="123"/>
        <v>AmyJCarpenter</v>
      </c>
      <c r="V493" t="s">
        <v>3119</v>
      </c>
      <c r="W493" t="str">
        <f t="shared" si="124"/>
        <v>334-</v>
      </c>
      <c r="X493" t="str">
        <f t="shared" si="125"/>
        <v>549</v>
      </c>
      <c r="Y493" t="str">
        <f t="shared" si="126"/>
        <v>-8128</v>
      </c>
      <c r="Z493" t="str">
        <f>SUBSTITUTE(V493,"-","|",2)</f>
        <v>334-549|8128</v>
      </c>
      <c r="AA493" t="str">
        <f>LEFT(V493,3)</f>
        <v>334</v>
      </c>
      <c r="AB493" t="str">
        <f>MID(V493,5,3)</f>
        <v>549</v>
      </c>
      <c r="AC493" t="str">
        <f>RIGHT(V493,4)</f>
        <v>8128</v>
      </c>
      <c r="AD493" s="3" t="s">
        <v>3120</v>
      </c>
      <c r="AE493" s="3" t="str">
        <f t="shared" si="127"/>
        <v>7013</v>
      </c>
    </row>
    <row r="494" spans="1:31">
      <c r="A494" t="s">
        <v>1269</v>
      </c>
      <c r="B494" t="str">
        <f t="shared" si="113"/>
        <v>William</v>
      </c>
      <c r="C494" t="s">
        <v>30</v>
      </c>
      <c r="D494" t="s">
        <v>2000</v>
      </c>
      <c r="E494" t="str">
        <f t="shared" si="114"/>
        <v>Hall</v>
      </c>
      <c r="F494" t="str">
        <f t="shared" si="115"/>
        <v>WILLIAMHALL</v>
      </c>
      <c r="G494" t="str">
        <f t="shared" si="116"/>
        <v>WILLIAMHALL</v>
      </c>
      <c r="H494" t="str">
        <f t="shared" si="117"/>
        <v>WIL HALL</v>
      </c>
      <c r="I494" t="str">
        <f t="shared" si="118"/>
        <v>WIL.H</v>
      </c>
      <c r="J494" t="s">
        <v>42</v>
      </c>
      <c r="K494" t="s">
        <v>3121</v>
      </c>
      <c r="L494" t="s">
        <v>3122</v>
      </c>
      <c r="M494" t="s">
        <v>136</v>
      </c>
      <c r="N494">
        <v>2919</v>
      </c>
      <c r="O494" t="str">
        <f t="shared" si="119"/>
        <v>02919</v>
      </c>
      <c r="P494" t="str">
        <f t="shared" si="112"/>
        <v>3989 Crummit Lane, Johnston, RI, 2919</v>
      </c>
      <c r="Q494" t="s">
        <v>3123</v>
      </c>
      <c r="R494" t="str">
        <f t="shared" si="120"/>
        <v>WilliamJHall</v>
      </c>
      <c r="S494" t="str">
        <f t="shared" si="121"/>
        <v>gmail.com</v>
      </c>
      <c r="T494" t="str">
        <f t="shared" si="122"/>
        <v>gmail</v>
      </c>
      <c r="U494" t="str">
        <f t="shared" si="123"/>
        <v>WilliamJHall</v>
      </c>
      <c r="V494" t="s">
        <v>3124</v>
      </c>
      <c r="W494" t="str">
        <f t="shared" si="124"/>
        <v>401-</v>
      </c>
      <c r="X494" t="str">
        <f t="shared" si="125"/>
        <v>925</v>
      </c>
      <c r="Y494" t="str">
        <f t="shared" si="126"/>
        <v>-8657</v>
      </c>
      <c r="Z494" t="str">
        <f>SUBSTITUTE(V494,"-","|",2)</f>
        <v>401-925|8657</v>
      </c>
      <c r="AA494" t="str">
        <f>LEFT(V494,3)</f>
        <v>401</v>
      </c>
      <c r="AB494" t="str">
        <f>MID(V494,5,3)</f>
        <v>925</v>
      </c>
      <c r="AC494" t="str">
        <f>RIGHT(V494,4)</f>
        <v>8657</v>
      </c>
      <c r="AD494" s="3" t="s">
        <v>3125</v>
      </c>
      <c r="AE494" s="3" t="str">
        <f t="shared" si="127"/>
        <v>248</v>
      </c>
    </row>
    <row r="495" spans="1:31">
      <c r="A495" t="s">
        <v>808</v>
      </c>
      <c r="B495" t="str">
        <f t="shared" si="113"/>
        <v>Kevin</v>
      </c>
      <c r="C495" t="s">
        <v>166</v>
      </c>
      <c r="D495" t="s">
        <v>3126</v>
      </c>
      <c r="E495" t="str">
        <f t="shared" si="114"/>
        <v>Mullen</v>
      </c>
      <c r="F495" t="str">
        <f t="shared" si="115"/>
        <v>KEVINMULLEN</v>
      </c>
      <c r="G495" t="str">
        <f t="shared" si="116"/>
        <v>KEVINMULLEN</v>
      </c>
      <c r="H495" t="str">
        <f t="shared" si="117"/>
        <v>KEV MULLEN</v>
      </c>
      <c r="I495" t="str">
        <f t="shared" si="118"/>
        <v>KEV.M</v>
      </c>
      <c r="J495" t="s">
        <v>42</v>
      </c>
      <c r="K495" t="s">
        <v>3127</v>
      </c>
      <c r="L495" t="s">
        <v>3128</v>
      </c>
      <c r="M495" t="s">
        <v>530</v>
      </c>
      <c r="N495">
        <v>39531</v>
      </c>
      <c r="O495" t="str">
        <f t="shared" si="119"/>
        <v>39531</v>
      </c>
      <c r="P495" t="str">
        <f t="shared" si="112"/>
        <v>2953 Coventry Court, Biloxi, MS, 39531</v>
      </c>
      <c r="Q495" t="s">
        <v>3129</v>
      </c>
      <c r="R495" t="str">
        <f t="shared" si="120"/>
        <v>KevinBMullen</v>
      </c>
      <c r="S495" t="str">
        <f t="shared" si="121"/>
        <v>hotmail.com</v>
      </c>
      <c r="T495" t="str">
        <f t="shared" si="122"/>
        <v>hotmail</v>
      </c>
      <c r="U495" t="str">
        <f t="shared" si="123"/>
        <v>KevinBMullen</v>
      </c>
      <c r="V495" t="s">
        <v>3130</v>
      </c>
      <c r="W495" t="str">
        <f t="shared" si="124"/>
        <v>228-</v>
      </c>
      <c r="X495" t="str">
        <f t="shared" si="125"/>
        <v>222</v>
      </c>
      <c r="Y495" t="str">
        <f t="shared" si="126"/>
        <v>-3010</v>
      </c>
      <c r="Z495" t="str">
        <f>SUBSTITUTE(V495,"-","|",2)</f>
        <v>228-222|3010</v>
      </c>
      <c r="AA495" t="str">
        <f>LEFT(V495,3)</f>
        <v>228</v>
      </c>
      <c r="AB495" t="str">
        <f>MID(V495,5,3)</f>
        <v>222</v>
      </c>
      <c r="AC495" t="str">
        <f>RIGHT(V495,4)</f>
        <v>3010</v>
      </c>
      <c r="AD495" s="3" t="s">
        <v>3131</v>
      </c>
      <c r="AE495" s="3" t="str">
        <f t="shared" si="127"/>
        <v>1488</v>
      </c>
    </row>
    <row r="496" spans="1:31">
      <c r="A496" t="s">
        <v>3132</v>
      </c>
      <c r="B496" t="str">
        <f t="shared" si="113"/>
        <v>Arthur</v>
      </c>
      <c r="C496" t="s">
        <v>30</v>
      </c>
      <c r="D496" t="s">
        <v>3133</v>
      </c>
      <c r="E496" t="str">
        <f t="shared" si="114"/>
        <v>Pharris</v>
      </c>
      <c r="F496" t="str">
        <f t="shared" si="115"/>
        <v>ARTHURPHARRIS</v>
      </c>
      <c r="G496" t="str">
        <f t="shared" si="116"/>
        <v>ARTHURPHARRIS</v>
      </c>
      <c r="H496" t="str">
        <f t="shared" si="117"/>
        <v>ART PHARRIS</v>
      </c>
      <c r="I496" t="str">
        <f t="shared" si="118"/>
        <v>ART.P</v>
      </c>
      <c r="J496" t="s">
        <v>42</v>
      </c>
      <c r="K496" t="s">
        <v>3134</v>
      </c>
      <c r="L496" t="s">
        <v>3135</v>
      </c>
      <c r="M496" t="s">
        <v>897</v>
      </c>
      <c r="N496">
        <v>67202</v>
      </c>
      <c r="O496" t="str">
        <f t="shared" si="119"/>
        <v>67202</v>
      </c>
      <c r="P496" t="str">
        <f t="shared" si="112"/>
        <v>1324 Roosevelt Road, Wichita, KS, 67202</v>
      </c>
      <c r="Q496" t="s">
        <v>3136</v>
      </c>
      <c r="R496" t="str">
        <f t="shared" si="120"/>
        <v>ArthurJPharris</v>
      </c>
      <c r="S496" t="str">
        <f t="shared" si="121"/>
        <v>aol.com</v>
      </c>
      <c r="T496" t="str">
        <f t="shared" si="122"/>
        <v>aol</v>
      </c>
      <c r="U496" t="str">
        <f t="shared" si="123"/>
        <v>ArthurJPharris</v>
      </c>
      <c r="V496" t="s">
        <v>3137</v>
      </c>
      <c r="W496" t="str">
        <f t="shared" si="124"/>
        <v>620-</v>
      </c>
      <c r="X496" t="str">
        <f t="shared" si="125"/>
        <v>307</v>
      </c>
      <c r="Y496" t="str">
        <f t="shared" si="126"/>
        <v>-0819</v>
      </c>
      <c r="Z496" t="str">
        <f>SUBSTITUTE(V496,"-","|",2)</f>
        <v>620-307|0819</v>
      </c>
      <c r="AA496" t="str">
        <f>LEFT(V496,3)</f>
        <v>620</v>
      </c>
      <c r="AB496" t="str">
        <f>MID(V496,5,3)</f>
        <v>307</v>
      </c>
      <c r="AC496" t="str">
        <f>RIGHT(V496,4)</f>
        <v>0819</v>
      </c>
      <c r="AD496" s="3" t="s">
        <v>3138</v>
      </c>
      <c r="AE496" s="3" t="str">
        <f t="shared" si="127"/>
        <v>2255</v>
      </c>
    </row>
    <row r="497" spans="1:31">
      <c r="A497" t="s">
        <v>3139</v>
      </c>
      <c r="B497" t="str">
        <f t="shared" si="113"/>
        <v>Wayne</v>
      </c>
      <c r="C497" t="s">
        <v>132</v>
      </c>
      <c r="D497" t="s">
        <v>3140</v>
      </c>
      <c r="E497" t="str">
        <f t="shared" si="114"/>
        <v>Dray</v>
      </c>
      <c r="F497" t="str">
        <f t="shared" si="115"/>
        <v>WAYNEDRAY</v>
      </c>
      <c r="G497" t="str">
        <f t="shared" si="116"/>
        <v>WAYNEDRAY</v>
      </c>
      <c r="H497" t="str">
        <f t="shared" si="117"/>
        <v>WAY DRAY</v>
      </c>
      <c r="I497" t="str">
        <f t="shared" si="118"/>
        <v>WAY.D</v>
      </c>
      <c r="J497" t="s">
        <v>42</v>
      </c>
      <c r="K497" t="s">
        <v>3141</v>
      </c>
      <c r="L497" t="s">
        <v>3142</v>
      </c>
      <c r="M497" t="s">
        <v>45</v>
      </c>
      <c r="N497">
        <v>95624</v>
      </c>
      <c r="O497" t="str">
        <f t="shared" si="119"/>
        <v>95624</v>
      </c>
      <c r="P497" t="str">
        <f t="shared" si="112"/>
        <v>3578 Highland View Drive, Elk Grove, CA, 95624</v>
      </c>
      <c r="Q497" t="s">
        <v>3143</v>
      </c>
      <c r="R497" t="str">
        <f t="shared" si="120"/>
        <v>WayneRDray</v>
      </c>
      <c r="S497" t="str">
        <f t="shared" si="121"/>
        <v>aol.com</v>
      </c>
      <c r="T497" t="str">
        <f t="shared" si="122"/>
        <v>aol</v>
      </c>
      <c r="U497" t="str">
        <f t="shared" si="123"/>
        <v>WayneRDray</v>
      </c>
      <c r="V497" t="s">
        <v>3144</v>
      </c>
      <c r="W497" t="str">
        <f t="shared" si="124"/>
        <v>916-</v>
      </c>
      <c r="X497" t="str">
        <f t="shared" si="125"/>
        <v>688</v>
      </c>
      <c r="Y497" t="str">
        <f t="shared" si="126"/>
        <v>-8108</v>
      </c>
      <c r="Z497" t="str">
        <f>SUBSTITUTE(V497,"-","|",2)</f>
        <v>916-688|8108</v>
      </c>
      <c r="AA497" t="str">
        <f>LEFT(V497,3)</f>
        <v>916</v>
      </c>
      <c r="AB497" t="str">
        <f>MID(V497,5,3)</f>
        <v>688</v>
      </c>
      <c r="AC497" t="str">
        <f>RIGHT(V497,4)</f>
        <v>8108</v>
      </c>
      <c r="AD497" s="3" t="s">
        <v>3145</v>
      </c>
      <c r="AE497" s="3" t="str">
        <f t="shared" si="127"/>
        <v>677</v>
      </c>
    </row>
    <row r="498" spans="1:31">
      <c r="A498" t="s">
        <v>3146</v>
      </c>
      <c r="B498" t="str">
        <f t="shared" si="113"/>
        <v>Chance</v>
      </c>
      <c r="C498" t="s">
        <v>40</v>
      </c>
      <c r="D498" t="s">
        <v>3147</v>
      </c>
      <c r="E498" t="str">
        <f t="shared" si="114"/>
        <v>Crump</v>
      </c>
      <c r="F498" t="str">
        <f t="shared" si="115"/>
        <v>CHANCECRUMP</v>
      </c>
      <c r="G498" t="str">
        <f t="shared" si="116"/>
        <v>CHANCECRUMP</v>
      </c>
      <c r="H498" t="str">
        <f t="shared" si="117"/>
        <v>CHA CRUMP</v>
      </c>
      <c r="I498" t="str">
        <f t="shared" si="118"/>
        <v>CHA.C</v>
      </c>
      <c r="J498" t="s">
        <v>42</v>
      </c>
      <c r="K498" t="s">
        <v>3148</v>
      </c>
      <c r="L498" t="s">
        <v>1625</v>
      </c>
      <c r="M498" t="s">
        <v>71</v>
      </c>
      <c r="N498">
        <v>70601</v>
      </c>
      <c r="O498" t="str">
        <f t="shared" si="119"/>
        <v>70601</v>
      </c>
      <c r="P498" t="str">
        <f t="shared" si="112"/>
        <v>762 Sarah Drive, Lake Charles, LA, 70601</v>
      </c>
      <c r="Q498" t="s">
        <v>3149</v>
      </c>
      <c r="R498" t="str">
        <f t="shared" si="120"/>
        <v>ChanceSCrump</v>
      </c>
      <c r="S498" t="str">
        <f t="shared" si="121"/>
        <v>hotmail.com</v>
      </c>
      <c r="T498" t="str">
        <f t="shared" si="122"/>
        <v>hotmail</v>
      </c>
      <c r="U498" t="str">
        <f t="shared" si="123"/>
        <v>ChanceSCrump</v>
      </c>
      <c r="V498" t="s">
        <v>3150</v>
      </c>
      <c r="W498" t="str">
        <f t="shared" si="124"/>
        <v>337-</v>
      </c>
      <c r="X498" t="str">
        <f t="shared" si="125"/>
        <v>503</v>
      </c>
      <c r="Y498" t="str">
        <f t="shared" si="126"/>
        <v>-6181</v>
      </c>
      <c r="Z498" t="str">
        <f>SUBSTITUTE(V498,"-","|",2)</f>
        <v>337-503|6181</v>
      </c>
      <c r="AA498" t="str">
        <f>LEFT(V498,3)</f>
        <v>337</v>
      </c>
      <c r="AB498" t="str">
        <f>MID(V498,5,3)</f>
        <v>503</v>
      </c>
      <c r="AC498" t="str">
        <f>RIGHT(V498,4)</f>
        <v>6181</v>
      </c>
      <c r="AD498" s="3" t="s">
        <v>3151</v>
      </c>
      <c r="AE498" s="3" t="str">
        <f t="shared" si="127"/>
        <v>1426</v>
      </c>
    </row>
    <row r="499" spans="1:31">
      <c r="A499" t="s">
        <v>165</v>
      </c>
      <c r="B499" t="str">
        <f t="shared" si="113"/>
        <v>Julie</v>
      </c>
      <c r="C499" t="s">
        <v>182</v>
      </c>
      <c r="D499" t="s">
        <v>3152</v>
      </c>
      <c r="E499" t="str">
        <f t="shared" si="114"/>
        <v>Ross</v>
      </c>
      <c r="F499" t="str">
        <f t="shared" si="115"/>
        <v>JULIEROSS</v>
      </c>
      <c r="G499" t="str">
        <f t="shared" si="116"/>
        <v>JULIEROSS</v>
      </c>
      <c r="H499" t="str">
        <f t="shared" si="117"/>
        <v>JUL ROSS</v>
      </c>
      <c r="I499" t="str">
        <f t="shared" si="118"/>
        <v>JUL.R</v>
      </c>
      <c r="J499" t="s">
        <v>32</v>
      </c>
      <c r="K499" t="s">
        <v>3153</v>
      </c>
      <c r="L499" t="s">
        <v>1253</v>
      </c>
      <c r="M499" t="s">
        <v>35</v>
      </c>
      <c r="N499">
        <v>60090</v>
      </c>
      <c r="O499" t="str">
        <f t="shared" si="119"/>
        <v>60090</v>
      </c>
      <c r="P499" t="str">
        <f t="shared" si="112"/>
        <v>1190 Hog Camp Road, Wheeling, IL, 60090</v>
      </c>
      <c r="Q499" t="s">
        <v>3154</v>
      </c>
      <c r="R499" t="str">
        <f t="shared" si="120"/>
        <v>JulieCRoss</v>
      </c>
      <c r="S499" t="str">
        <f t="shared" si="121"/>
        <v>hotmail.com</v>
      </c>
      <c r="T499" t="str">
        <f t="shared" si="122"/>
        <v>hotmail</v>
      </c>
      <c r="U499" t="str">
        <f t="shared" si="123"/>
        <v>JulieCRoss</v>
      </c>
      <c r="V499" t="s">
        <v>3155</v>
      </c>
      <c r="W499" t="str">
        <f t="shared" si="124"/>
        <v>708-</v>
      </c>
      <c r="X499" t="str">
        <f t="shared" si="125"/>
        <v>435</v>
      </c>
      <c r="Y499" t="str">
        <f t="shared" si="126"/>
        <v>-1491</v>
      </c>
      <c r="Z499" t="str">
        <f>SUBSTITUTE(V499,"-","|",2)</f>
        <v>708-435|1491</v>
      </c>
      <c r="AA499" t="str">
        <f>LEFT(V499,3)</f>
        <v>708</v>
      </c>
      <c r="AB499" t="str">
        <f>MID(V499,5,3)</f>
        <v>435</v>
      </c>
      <c r="AC499" t="str">
        <f>RIGHT(V499,4)</f>
        <v>1491</v>
      </c>
      <c r="AD499" s="3" t="s">
        <v>3156</v>
      </c>
      <c r="AE499" s="3" t="str">
        <f t="shared" si="127"/>
        <v>4804</v>
      </c>
    </row>
    <row r="500" spans="1:31">
      <c r="A500" t="s">
        <v>3157</v>
      </c>
      <c r="B500" t="str">
        <f t="shared" si="113"/>
        <v>Stacey</v>
      </c>
      <c r="C500" t="s">
        <v>343</v>
      </c>
      <c r="D500" t="s">
        <v>3158</v>
      </c>
      <c r="E500" t="str">
        <f t="shared" si="114"/>
        <v>Haynes</v>
      </c>
      <c r="F500" t="str">
        <f t="shared" si="115"/>
        <v>STACEYHAYNES</v>
      </c>
      <c r="G500" t="str">
        <f t="shared" si="116"/>
        <v>STACEYHAYNES</v>
      </c>
      <c r="H500" t="str">
        <f t="shared" si="117"/>
        <v>STA HAYNES</v>
      </c>
      <c r="I500" t="str">
        <f t="shared" si="118"/>
        <v>STA.H</v>
      </c>
      <c r="J500" t="s">
        <v>32</v>
      </c>
      <c r="K500" t="s">
        <v>3159</v>
      </c>
      <c r="L500" t="s">
        <v>3160</v>
      </c>
      <c r="M500" t="s">
        <v>347</v>
      </c>
      <c r="N500">
        <v>66712</v>
      </c>
      <c r="O500" t="str">
        <f t="shared" si="119"/>
        <v>66712</v>
      </c>
      <c r="P500" t="str">
        <f t="shared" si="112"/>
        <v>3039 Briarwood Road, Arma, MO, 66712</v>
      </c>
      <c r="Q500" t="s">
        <v>3161</v>
      </c>
      <c r="R500" t="str">
        <f t="shared" si="120"/>
        <v>StaceyLHaynes</v>
      </c>
      <c r="S500" t="str">
        <f t="shared" si="121"/>
        <v>gmail.com</v>
      </c>
      <c r="T500" t="str">
        <f t="shared" si="122"/>
        <v>gmail</v>
      </c>
      <c r="U500" t="str">
        <f t="shared" si="123"/>
        <v>StaceyLHaynes</v>
      </c>
      <c r="V500" t="s">
        <v>3162</v>
      </c>
      <c r="W500" t="str">
        <f t="shared" si="124"/>
        <v>417-</v>
      </c>
      <c r="X500" t="str">
        <f t="shared" si="125"/>
        <v>769</v>
      </c>
      <c r="Y500" t="str">
        <f t="shared" si="126"/>
        <v>-1953</v>
      </c>
      <c r="Z500" t="str">
        <f>SUBSTITUTE(V500,"-","|",2)</f>
        <v>417-769|1953</v>
      </c>
      <c r="AA500" t="str">
        <f>LEFT(V500,3)</f>
        <v>417</v>
      </c>
      <c r="AB500" t="str">
        <f>MID(V500,5,3)</f>
        <v>769</v>
      </c>
      <c r="AC500" t="str">
        <f>RIGHT(V500,4)</f>
        <v>1953</v>
      </c>
      <c r="AD500" s="3" t="s">
        <v>3163</v>
      </c>
      <c r="AE500" s="3" t="str">
        <f t="shared" si="127"/>
        <v>7444</v>
      </c>
    </row>
    <row r="501" spans="1:31">
      <c r="A501" t="s">
        <v>3164</v>
      </c>
      <c r="B501" t="str">
        <f t="shared" si="113"/>
        <v>Lucille</v>
      </c>
      <c r="C501" t="s">
        <v>132</v>
      </c>
      <c r="D501" t="s">
        <v>3165</v>
      </c>
      <c r="E501" t="str">
        <f t="shared" si="114"/>
        <v>Moss</v>
      </c>
      <c r="F501" t="str">
        <f t="shared" si="115"/>
        <v>LUCILLEMOSS</v>
      </c>
      <c r="G501" t="str">
        <f t="shared" si="116"/>
        <v>LUCILLEMOSS</v>
      </c>
      <c r="H501" t="str">
        <f t="shared" si="117"/>
        <v>LUC MOSS</v>
      </c>
      <c r="I501" t="str">
        <f t="shared" si="118"/>
        <v>LUC.M</v>
      </c>
      <c r="J501" t="s">
        <v>32</v>
      </c>
      <c r="K501" t="s">
        <v>3166</v>
      </c>
      <c r="L501" t="s">
        <v>664</v>
      </c>
      <c r="M501" t="s">
        <v>413</v>
      </c>
      <c r="N501">
        <v>21201</v>
      </c>
      <c r="O501" t="str">
        <f t="shared" si="119"/>
        <v>21201</v>
      </c>
      <c r="P501" t="str">
        <f t="shared" si="112"/>
        <v>1929 Beechwood Drive, Baltimore, MD, 21201</v>
      </c>
      <c r="Q501" t="s">
        <v>3167</v>
      </c>
      <c r="R501" t="str">
        <f t="shared" si="120"/>
        <v>LucilleRMoss</v>
      </c>
      <c r="S501" t="str">
        <f t="shared" si="121"/>
        <v>hotmail.com</v>
      </c>
      <c r="T501" t="str">
        <f t="shared" si="122"/>
        <v>hotmail</v>
      </c>
      <c r="U501" t="str">
        <f t="shared" si="123"/>
        <v>LucilleRMoss</v>
      </c>
      <c r="V501" t="s">
        <v>3168</v>
      </c>
      <c r="W501" t="str">
        <f t="shared" si="124"/>
        <v>410-</v>
      </c>
      <c r="X501" t="str">
        <f t="shared" si="125"/>
        <v>972</v>
      </c>
      <c r="Y501" t="str">
        <f t="shared" si="126"/>
        <v>-3074</v>
      </c>
      <c r="Z501" t="str">
        <f>SUBSTITUTE(V501,"-","|",2)</f>
        <v>410-972|3074</v>
      </c>
      <c r="AA501" t="str">
        <f>LEFT(V501,3)</f>
        <v>410</v>
      </c>
      <c r="AB501" t="str">
        <f>MID(V501,5,3)</f>
        <v>972</v>
      </c>
      <c r="AC501" t="str">
        <f>RIGHT(V501,4)</f>
        <v>3074</v>
      </c>
      <c r="AD501" s="3" t="s">
        <v>3169</v>
      </c>
      <c r="AE501" s="3" t="str">
        <f t="shared" si="127"/>
        <v>5196</v>
      </c>
    </row>
  </sheetData>
  <autoFilter ref="A1:AD50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0D0A-7BB7-417C-9850-86B701F6A222}">
  <dimension ref="A1"/>
  <sheetViews>
    <sheetView workbookViewId="0">
      <selection activeCell="C4" sqref="C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CDutton</dc:creator>
  <cp:keywords/>
  <dc:description/>
  <cp:lastModifiedBy/>
  <cp:revision/>
  <dcterms:created xsi:type="dcterms:W3CDTF">2015-08-05T03:15:22Z</dcterms:created>
  <dcterms:modified xsi:type="dcterms:W3CDTF">2025-12-07T14:32:16Z</dcterms:modified>
  <cp:category/>
  <cp:contentStatus/>
</cp:coreProperties>
</file>