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6.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Dell\Desktop\Advanced Excel\Webinars\Modern Excel\"/>
    </mc:Choice>
  </mc:AlternateContent>
  <xr:revisionPtr revIDLastSave="0" documentId="8_{0EC086FF-D047-48D2-9A6D-BECEE31236C4}" xr6:coauthVersionLast="47" xr6:coauthVersionMax="47" xr10:uidLastSave="{00000000-0000-0000-0000-000000000000}"/>
  <bookViews>
    <workbookView xWindow="-108" yWindow="-108" windowWidth="23256" windowHeight="12600" firstSheet="13" activeTab="13" xr2:uid="{00000000-000D-0000-FFFF-FFFF00000000}"/>
  </bookViews>
  <sheets>
    <sheet name="Spill" sheetId="2" r:id="rId1"/>
    <sheet name="XLookUp - Q" sheetId="26" r:id="rId2"/>
    <sheet name="XLookUp - Data" sheetId="27" r:id="rId3"/>
    <sheet name="FILTER" sheetId="6" r:id="rId4"/>
    <sheet name="SORT(BY)" sheetId="7" r:id="rId5"/>
    <sheet name="UNIQUE" sheetId="8" r:id="rId6"/>
    <sheet name="Combine" sheetId="9" r:id="rId7"/>
    <sheet name="OFFSET-INDIRECT" sheetId="31" r:id="rId8"/>
    <sheet name="SEQUENCE" sheetId="10" state="hidden" r:id="rId9"/>
    <sheet name="Challenge" sheetId="3" state="hidden" r:id="rId10"/>
    <sheet name="Loan Amortization Table" sheetId="18" state="hidden" r:id="rId11"/>
    <sheet name="Map Charts" sheetId="19" r:id="rId12"/>
    <sheet name="Funnel Chart" sheetId="20" r:id="rId13"/>
    <sheet name="Stocks &amp; Geography" sheetId="21" r:id="rId14"/>
    <sheet name="Excel LIMITS" sheetId="29" r:id="rId15"/>
    <sheet name="Old VS New Excel" sheetId="30" r:id="rId16"/>
    <sheet name="MAX &amp; MIN IFS" sheetId="15" state="hidden" r:id="rId17"/>
    <sheet name="IFS" sheetId="16" state="hidden" r:id="rId18"/>
    <sheet name="Combining Text" sheetId="17" state="hidden" r:id="rId19"/>
    <sheet name="RANDARRAY" sheetId="5" state="hidden" r:id="rId20"/>
  </sheets>
  <definedNames>
    <definedName name="_xlnm._FilterDatabase" localSheetId="3" hidden="1">FILTER!$A$5:$C$20</definedName>
    <definedName name="_xlchart.v2.0" hidden="1">'Funnel Chart'!$A$4:$A$7</definedName>
    <definedName name="_xlchart.v2.1" hidden="1">'Funnel Chart'!$B$3</definedName>
    <definedName name="_xlchart.v2.2" hidden="1">'Funnel Chart'!$B$4:$B$7</definedName>
    <definedName name="back">#REF!</definedName>
    <definedName name="Karan">'OFFSET-INDIRECT'!$B$22:$B$24</definedName>
    <definedName name="Rahulk">'OFFSET-INDIRECT'!$A$22:$A$24</definedName>
    <definedName name="Rakesh">'OFFSET-INDIRECT'!$C$22:$C$24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31" l="1"/>
  <c r="F28" i="31"/>
  <c r="D3" i="31" a="1"/>
  <c r="D3" i="31"/>
  <c r="C19" i="31"/>
  <c r="C3" i="31"/>
  <c r="G6" i="9"/>
  <c r="F18" i="9" a="1"/>
  <c r="F18" i="9"/>
  <c r="J12" i="9" a="1"/>
  <c r="J12" i="9"/>
  <c r="F12" i="9" a="1"/>
  <c r="F12" i="9"/>
  <c r="F6" i="9" a="1"/>
  <c r="F6" i="9"/>
  <c r="F34" i="8" a="1"/>
  <c r="F34" i="8"/>
  <c r="B63" i="7" a="1"/>
  <c r="B63" i="7"/>
  <c r="F28" i="8" a="1"/>
  <c r="F28" i="8"/>
  <c r="F14" i="8"/>
  <c r="F6" i="8" a="1"/>
  <c r="F6" i="8"/>
  <c r="B59" i="7" a="1"/>
  <c r="B59" i="7"/>
  <c r="F6" i="7" a="1"/>
  <c r="F6" i="7"/>
  <c r="F30" i="7" a="1"/>
  <c r="F30" i="7"/>
  <c r="J6" i="7" a="1"/>
  <c r="J6" i="7"/>
  <c r="F42" i="6" a="1"/>
  <c r="F42" i="6"/>
  <c r="K39" i="6" a="1"/>
  <c r="K39" i="6"/>
  <c r="F41" i="6" a="1"/>
  <c r="F41" i="6"/>
  <c r="F13" i="6" a="1"/>
  <c r="F13" i="6"/>
  <c r="F31" i="6" a="1"/>
  <c r="F31" i="6"/>
  <c r="F7" i="6" a="1"/>
  <c r="F7" i="6"/>
  <c r="C6" i="18"/>
  <c r="G7" i="9" l="1"/>
  <c r="G8" i="9"/>
  <c r="D10" i="17" a="1"/>
  <c r="D10" i="17" s="1"/>
  <c r="J5" i="9" l="1" a="1"/>
  <c r="J5"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2"/>
        </ext>
      </extLst>
    </bk>
    <bk>
      <extLst>
        <ext uri="{3e2802c4-a4d2-4d8b-9148-e3be6c30e623}">
          <xlrd:rvb i="5"/>
        </ext>
      </extLst>
    </bk>
    <bk>
      <extLst>
        <ext uri="{3e2802c4-a4d2-4d8b-9148-e3be6c30e623}">
          <xlrd:rvb i="8"/>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<sst xmlns="http://schemas.openxmlformats.org/spreadsheetml/2006/main" count="841" uniqueCount="281">
  <si>
    <t>Formulas Spill &amp; Other Dynamic Array Characteristics</t>
  </si>
  <si>
    <t>Raw Data</t>
  </si>
  <si>
    <t>Spilled array</t>
  </si>
  <si>
    <t>Department</t>
  </si>
  <si>
    <t>Indian State</t>
  </si>
  <si>
    <t>Revenue</t>
  </si>
  <si>
    <t>Electronics</t>
  </si>
  <si>
    <t>Punjab</t>
  </si>
  <si>
    <t>Maharashtra</t>
  </si>
  <si>
    <r>
      <rPr>
        <b/>
        <sz val="11"/>
        <color theme="1"/>
        <rFont val="Calibri"/>
        <family val="2"/>
        <scheme val="minor"/>
      </rPr>
      <t>1.</t>
    </r>
    <r>
      <rPr>
        <sz val="11"/>
        <color theme="1"/>
        <rFont val="Calibri"/>
        <family val="2"/>
        <scheme val="minor"/>
      </rPr>
      <t xml:space="preserve"> Formula is editable only in the 1st cell</t>
    </r>
  </si>
  <si>
    <t>Kerala</t>
  </si>
  <si>
    <r>
      <rPr>
        <b/>
        <sz val="11"/>
        <color theme="1"/>
        <rFont val="Calibri"/>
        <family val="2"/>
        <scheme val="minor"/>
      </rPr>
      <t>2.</t>
    </r>
    <r>
      <rPr>
        <sz val="11"/>
        <color theme="1"/>
        <rFont val="Calibri"/>
        <family val="2"/>
        <scheme val="minor"/>
      </rPr>
      <t xml:space="preserve"> Blue border helps you see till what cell has the formula been spilled</t>
    </r>
  </si>
  <si>
    <t>Gujrat</t>
  </si>
  <si>
    <r>
      <rPr>
        <b/>
        <sz val="11"/>
        <color theme="1"/>
        <rFont val="Calibri"/>
        <family val="2"/>
        <scheme val="minor"/>
      </rPr>
      <t xml:space="preserve">3. </t>
    </r>
    <r>
      <rPr>
        <sz val="11"/>
        <color theme="1"/>
        <rFont val="Calibri"/>
        <family val="2"/>
        <scheme val="minor"/>
      </rPr>
      <t>You do not copy the formatting of your data</t>
    </r>
  </si>
  <si>
    <t>Delhi</t>
  </si>
  <si>
    <r>
      <rPr>
        <b/>
        <sz val="11"/>
        <color theme="1"/>
        <rFont val="Calibri"/>
        <family val="2"/>
        <scheme val="minor"/>
      </rPr>
      <t>4.</t>
    </r>
    <r>
      <rPr>
        <sz val="11"/>
        <color theme="1"/>
        <rFont val="Calibri"/>
        <family val="2"/>
        <scheme val="minor"/>
      </rPr>
      <t xml:space="preserve"> If you have something blocking the spill, you will get the #SPILL erorr</t>
    </r>
  </si>
  <si>
    <t>Clothing</t>
  </si>
  <si>
    <t>Toys</t>
  </si>
  <si>
    <t>Raw Data as Table</t>
  </si>
  <si>
    <t>Spilled array (from Table)</t>
  </si>
  <si>
    <t>Referencing a spilled array range</t>
  </si>
  <si>
    <t>XLOOKUP 101</t>
  </si>
  <si>
    <t>Syntax is XLOOKUP(lookup, lookup_array, return_array, [not_found], [match_mode], [search_mode])</t>
  </si>
  <si>
    <t>Employee</t>
  </si>
  <si>
    <t>ID</t>
  </si>
  <si>
    <t>Sales</t>
  </si>
  <si>
    <t>Commission</t>
  </si>
  <si>
    <t>Gary Miller</t>
  </si>
  <si>
    <t>James Willard</t>
  </si>
  <si>
    <t>Richard Elliot</t>
  </si>
  <si>
    <t>Robert Spear</t>
  </si>
  <si>
    <t>Roger Mun</t>
  </si>
  <si>
    <t>Paul Garza</t>
  </si>
  <si>
    <t>Robert Marquez</t>
  </si>
  <si>
    <t>Natalie Porter</t>
  </si>
  <si>
    <t>Kim West</t>
  </si>
  <si>
    <t>Stevie Bridge</t>
  </si>
  <si>
    <t>Employee ID</t>
  </si>
  <si>
    <t>ID18</t>
  </si>
  <si>
    <t>ID8</t>
  </si>
  <si>
    <t>ID24</t>
  </si>
  <si>
    <t>ID23</t>
  </si>
  <si>
    <t>ID13</t>
  </si>
  <si>
    <t>ID7</t>
  </si>
  <si>
    <t>ID19</t>
  </si>
  <si>
    <t>Paul Wells</t>
  </si>
  <si>
    <t>ID22</t>
  </si>
  <si>
    <t>Ewan Thompson</t>
  </si>
  <si>
    <t>ID5</t>
  </si>
  <si>
    <t>Walter Miller</t>
  </si>
  <si>
    <t>ID9</t>
  </si>
  <si>
    <t>Peter Ramsy</t>
  </si>
  <si>
    <t>ID17</t>
  </si>
  <si>
    <t>Wolfgang Ramjac</t>
  </si>
  <si>
    <t>ID10</t>
  </si>
  <si>
    <t>Brigitte Bond</t>
  </si>
  <si>
    <t>ID21</t>
  </si>
  <si>
    <t>Maria Tot</t>
  </si>
  <si>
    <t>ID3</t>
  </si>
  <si>
    <t>Procurement</t>
  </si>
  <si>
    <t>ID29</t>
  </si>
  <si>
    <t>Andre Cooper</t>
  </si>
  <si>
    <t>ID30</t>
  </si>
  <si>
    <t>Robert Musser</t>
  </si>
  <si>
    <t>ID14</t>
  </si>
  <si>
    <t>Ann Withers</t>
  </si>
  <si>
    <t>ID16</t>
  </si>
  <si>
    <t>Corinna Schmidt</t>
  </si>
  <si>
    <t>ID27</t>
  </si>
  <si>
    <t>Mike Saban</t>
  </si>
  <si>
    <t>ID4</t>
  </si>
  <si>
    <t>Finance</t>
  </si>
  <si>
    <t>ID12</t>
  </si>
  <si>
    <t>ID20</t>
  </si>
  <si>
    <t>ID28</t>
  </si>
  <si>
    <t>Daniel Garrett</t>
  </si>
  <si>
    <t>ID25</t>
  </si>
  <si>
    <t>Paul Hill</t>
  </si>
  <si>
    <t>ID1</t>
  </si>
  <si>
    <t>Crystal Doyle</t>
  </si>
  <si>
    <t>ID15</t>
  </si>
  <si>
    <t>Betina Bauer</t>
  </si>
  <si>
    <t>ID2</t>
  </si>
  <si>
    <t>Daniela Schreiber</t>
  </si>
  <si>
    <t>ID11</t>
  </si>
  <si>
    <t>Dan Ziegler</t>
  </si>
  <si>
    <t>ID26</t>
  </si>
  <si>
    <t>Robert Richardson</t>
  </si>
  <si>
    <t>ID6</t>
  </si>
  <si>
    <t>Robert Blume</t>
  </si>
  <si>
    <t>ID31</t>
  </si>
  <si>
    <t>Lukas Hofer</t>
  </si>
  <si>
    <t>Filter (The New Power Lookup)</t>
  </si>
  <si>
    <t>Syntax is FILTER(array, include, [if_empty])</t>
  </si>
  <si>
    <t>Region</t>
  </si>
  <si>
    <t>delhi</t>
  </si>
  <si>
    <t>Revenue greater than:</t>
  </si>
  <si>
    <t>Table as Source</t>
  </si>
  <si>
    <t>toys</t>
  </si>
  <si>
    <t>OR</t>
  </si>
  <si>
    <t>Use +</t>
  </si>
  <si>
    <t>AND</t>
  </si>
  <si>
    <t>Use *</t>
  </si>
  <si>
    <t>kerala</t>
  </si>
  <si>
    <t>SORT Function &amp; SORTBY Formula</t>
  </si>
  <si>
    <t>Syntax is SORT(array, [sort index], [sort order], [by_col])</t>
  </si>
  <si>
    <t>Sort by Revenue in descending order</t>
  </si>
  <si>
    <t>Sort by Department in ascending order</t>
  </si>
  <si>
    <t>SORTBY Function</t>
  </si>
  <si>
    <t>Syntax of SORTBY(array, by_array1, sort_order1…)</t>
  </si>
  <si>
    <t>Sort by Revenue descending but only show department &amp; Indian State</t>
  </si>
  <si>
    <t>SORT by Column</t>
  </si>
  <si>
    <t>UNIQUE Function</t>
  </si>
  <si>
    <t>Syntax of UNIQUE(array, [by_col], [occurs_once])</t>
  </si>
  <si>
    <t>Unique list of Department</t>
  </si>
  <si>
    <t>Unique Count</t>
  </si>
  <si>
    <t>Snacks</t>
  </si>
  <si>
    <t>List of Department occuring only once</t>
  </si>
  <si>
    <t>Unique list of Department &amp; Indian State</t>
  </si>
  <si>
    <t>Combining Dynamic Array Functions</t>
  </si>
  <si>
    <t>Revenue by Department (sorted descending)</t>
  </si>
  <si>
    <t>clothing</t>
  </si>
  <si>
    <t>Departments with revenue less than 30,000</t>
  </si>
  <si>
    <t>Departments with revenue less than 30,000 &amp; exclude empty cells of Department (if any)</t>
  </si>
  <si>
    <t>=OFFSET(A5)</t>
  </si>
  <si>
    <t>sai</t>
  </si>
  <si>
    <t>jan</t>
  </si>
  <si>
    <t>feb</t>
  </si>
  <si>
    <t>mar</t>
  </si>
  <si>
    <t>april</t>
  </si>
  <si>
    <t>may</t>
  </si>
  <si>
    <t>Rahulk</t>
  </si>
  <si>
    <t>Karan</t>
  </si>
  <si>
    <t>Rakesh</t>
  </si>
  <si>
    <t>Student name</t>
  </si>
  <si>
    <t>Avg</t>
  </si>
  <si>
    <t>Total</t>
  </si>
  <si>
    <t>SEQUENCE Function</t>
  </si>
  <si>
    <t>Syntax of SEQUENCE(rows, [columns], [start], [step])</t>
  </si>
  <si>
    <t>Basic Demo of Sequence: Generate an index</t>
  </si>
  <si>
    <t>Every 5 days from today</t>
  </si>
  <si>
    <t>One letter</t>
  </si>
  <si>
    <t>Challenge: Create a Quick Overview Report</t>
  </si>
  <si>
    <t>Convert the data to a table. Name the table TableAgent</t>
  </si>
  <si>
    <t>Create a unique list of sales agents sorted in descending order</t>
  </si>
  <si>
    <t>Calculate the total quantity sold by each agent during the entire period</t>
  </si>
  <si>
    <t>WELL DONE!</t>
  </si>
  <si>
    <t>Date</t>
  </si>
  <si>
    <t>Sales Agent</t>
  </si>
  <si>
    <t>Quantity</t>
  </si>
  <si>
    <t>Dynamic LATs</t>
  </si>
  <si>
    <t>Input year</t>
  </si>
  <si>
    <t>Rate</t>
  </si>
  <si>
    <t>Value</t>
  </si>
  <si>
    <t>Monthly payment</t>
  </si>
  <si>
    <t>Month #</t>
  </si>
  <si>
    <t>Interest</t>
  </si>
  <si>
    <t>Principal</t>
  </si>
  <si>
    <t>Balance</t>
  </si>
  <si>
    <t>New Visual - Map</t>
  </si>
  <si>
    <t>State</t>
  </si>
  <si>
    <t>Sales of Shawl</t>
  </si>
  <si>
    <t>Andaman and Nicobar Islands</t>
  </si>
  <si>
    <t>Andhra Pradesh</t>
  </si>
  <si>
    <t>Arunachal Pradesh</t>
  </si>
  <si>
    <t>Assam</t>
  </si>
  <si>
    <t>Bihar</t>
  </si>
  <si>
    <t>Chandigarh</t>
  </si>
  <si>
    <t>Chhattisgarh</t>
  </si>
  <si>
    <t>Dadra and Nagar Haveli</t>
  </si>
  <si>
    <t>Goa</t>
  </si>
  <si>
    <t>Gujarat</t>
  </si>
  <si>
    <t>Haryana</t>
  </si>
  <si>
    <t>Himachal Pradesh</t>
  </si>
  <si>
    <t>Jammu and Kashmir</t>
  </si>
  <si>
    <t>Jharkhand</t>
  </si>
  <si>
    <t>Karnataka</t>
  </si>
  <si>
    <t>Ladakh</t>
  </si>
  <si>
    <t>Madhya Pradesh</t>
  </si>
  <si>
    <t>Manipur</t>
  </si>
  <si>
    <t>Mizoram</t>
  </si>
  <si>
    <t>Odisha</t>
  </si>
  <si>
    <t>Puducherry</t>
  </si>
  <si>
    <t>Rajasthan</t>
  </si>
  <si>
    <t>Tamil Nadu</t>
  </si>
  <si>
    <t>Telangana</t>
  </si>
  <si>
    <t>Tripura</t>
  </si>
  <si>
    <t>Uttar Pradesh</t>
  </si>
  <si>
    <t>Uttarakhand</t>
  </si>
  <si>
    <t>West Bengal</t>
  </si>
  <si>
    <t>New Visual - Funnel</t>
  </si>
  <si>
    <t>Stage of Marketing</t>
  </si>
  <si>
    <t>Leads Remaining</t>
  </si>
  <si>
    <t>Cold Call</t>
  </si>
  <si>
    <t>Meeting</t>
  </si>
  <si>
    <t>Interested</t>
  </si>
  <si>
    <t>Converted</t>
  </si>
  <si>
    <t>New Data Type - Stock &amp; Geo</t>
  </si>
  <si>
    <t>Stock Name</t>
  </si>
  <si>
    <t>HDFC</t>
  </si>
  <si>
    <t>Profit</t>
  </si>
  <si>
    <t>North</t>
  </si>
  <si>
    <t>South</t>
  </si>
  <si>
    <t>West</t>
  </si>
  <si>
    <t>East</t>
  </si>
  <si>
    <t>MAX &amp; MIN IFS Function</t>
  </si>
  <si>
    <t>Division</t>
  </si>
  <si>
    <t>Utility</t>
  </si>
  <si>
    <t>North America</t>
  </si>
  <si>
    <t>South America</t>
  </si>
  <si>
    <t>Max Revenue for Region</t>
  </si>
  <si>
    <t>Asia</t>
  </si>
  <si>
    <t>Europe</t>
  </si>
  <si>
    <t>Min Revenue for Region</t>
  </si>
  <si>
    <t>Australia</t>
  </si>
  <si>
    <t>Productivity</t>
  </si>
  <si>
    <t>Max Revenue for Division</t>
  </si>
  <si>
    <t>Game</t>
  </si>
  <si>
    <t>Min Revenue for Division</t>
  </si>
  <si>
    <t>IFS Function (Replacement to Nested IFS)</t>
  </si>
  <si>
    <t>Comment</t>
  </si>
  <si>
    <t>Criteria For Comment</t>
  </si>
  <si>
    <t>Text to Assign</t>
  </si>
  <si>
    <t>Traditional IF Formula:</t>
  </si>
  <si>
    <t>Above 45,000</t>
  </si>
  <si>
    <t>Amazing</t>
  </si>
  <si>
    <t>=IF(Logical Test, Value If True, Value If False)</t>
  </si>
  <si>
    <t>Above 40,000</t>
  </si>
  <si>
    <t>Very Good</t>
  </si>
  <si>
    <t>Above 35,000</t>
  </si>
  <si>
    <t>Good</t>
  </si>
  <si>
    <t>Above 30,000</t>
  </si>
  <si>
    <t>Bad</t>
  </si>
  <si>
    <t>Equal or Below 30,000</t>
  </si>
  <si>
    <t>Very Bad</t>
  </si>
  <si>
    <t>Example 1</t>
  </si>
  <si>
    <t>Concatenate</t>
  </si>
  <si>
    <t>Concat</t>
  </si>
  <si>
    <t>Textjoin</t>
  </si>
  <si>
    <t>This</t>
  </si>
  <si>
    <t>is</t>
  </si>
  <si>
    <t>a</t>
  </si>
  <si>
    <t>sentence</t>
  </si>
  <si>
    <t>Example 2</t>
  </si>
  <si>
    <t>&amp; Formula</t>
  </si>
  <si>
    <t>I</t>
  </si>
  <si>
    <t>love</t>
  </si>
  <si>
    <t>MS</t>
  </si>
  <si>
    <t>Excel</t>
  </si>
  <si>
    <t>E-mails</t>
  </si>
  <si>
    <t>TEXTJOIN</t>
  </si>
  <si>
    <t>MamieH@gnet.com</t>
  </si>
  <si>
    <t>DebiD@yahoo.com</t>
  </si>
  <si>
    <t>PalmerA@yahoo.com</t>
  </si>
  <si>
    <t>ZinaW@gmail.com</t>
  </si>
  <si>
    <t>SanfordB@hotmail.com</t>
  </si>
  <si>
    <t>HildeC@gnet.com</t>
  </si>
  <si>
    <t>PenelopeS@gmail.com</t>
  </si>
  <si>
    <t>TreasaM@yahoo.com</t>
  </si>
  <si>
    <t>TameraM@hotmail.com</t>
  </si>
  <si>
    <t>DonteR@yahoo.com</t>
  </si>
  <si>
    <t>EvanC@gmail.com</t>
  </si>
  <si>
    <t>LizetteD@gmail.com</t>
  </si>
  <si>
    <t>NoemiS@hotmail.com</t>
  </si>
  <si>
    <t>WillisC@gmail.com</t>
  </si>
  <si>
    <t>LatishaH@hotmail.com</t>
  </si>
  <si>
    <t>DaniellV@hotmail.com</t>
  </si>
  <si>
    <t>StarrM@gnet.com</t>
  </si>
  <si>
    <t>WendiH@gnet.com</t>
  </si>
  <si>
    <t>LeannaD@hotmail.com</t>
  </si>
  <si>
    <t>CleotildeW@hotmail.com</t>
  </si>
  <si>
    <t>RANDARRAY Function</t>
  </si>
  <si>
    <t>INDEX</t>
  </si>
  <si>
    <t>Syntax of RANDARRAY([rows], [columns], [min], [max], [integer])</t>
  </si>
  <si>
    <t>Random numbers between 0 and 1</t>
  </si>
  <si>
    <t>Randomly assign people to teams</t>
  </si>
  <si>
    <t>Team 1</t>
  </si>
  <si>
    <t>Team 2</t>
  </si>
  <si>
    <t>Random rounded numbers between 10 and 100</t>
  </si>
  <si>
    <t>Team 3</t>
  </si>
  <si>
    <t>Team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</si>
</sst>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164" formatCode="_ &quot;₹&quot;\ * #,##0.00_ ;_ &quot;₹&quot;\ * \-#,##0.00_ ;_ &quot;₹&quot;\ * &quot;-&quot;??_ ;_ @_ "/>
    <numFmt numFmtId="165" formatCode="_ * #,##0.00_ ;_ * \-#,##0.00_ ;_ * &quot;-&quot;??_ ;_ @_ "/>
    <numFmt numFmtId="166" formatCode="#;\-#;"/>
    <numFmt numFmtId="167" formatCode="_ &quot;₹&quot;\ * #,##0_ ;_ &quot;₹&quot;\ * \-#,##0_ ;_ &quot;₹&quot;\ * &quot;-&quot;??_ ;_ @_ "/>
    <numFmt numFmtId="168" formatCode="_ [$₹-4009]\ * #,##0_ ;_ [$₹-4009]\ * \-#,##0_ ;_ [$₹-4009]\ * &quot;-&quot;??_ ;_ @_ "/>
  </numFmts>
  <fonts count="15">
    <font>
      <sz val="11"/>
      <color theme="1"/>
      <name val="Calibri"/>
      <family val="2"/>
      <scheme val="minor"/>
    </font>
    <font>
      <b/>
      <sz val="11"/>
      <color theme="1"/>
      <name val="Calibri"/>
      <family val="2"/>
      <scheme val="minor"/>
    </font>
    <font>
      <b/>
      <sz val="14"/>
      <color theme="1"/>
      <name val="Calibri"/>
      <family val="2"/>
      <scheme val="minor"/>
    </font>
    <font>
      <b/>
      <sz val="11"/>
      <color theme="0"/>
      <name val="Calibri"/>
      <family val="2"/>
      <scheme val="minor"/>
    </font>
    <font>
      <sz val="11"/>
      <color theme="4"/>
      <name val="Calibri"/>
      <family val="2"/>
      <scheme val="minor"/>
    </font>
    <font>
      <sz val="11"/>
      <color theme="5"/>
      <name val="Calibri"/>
      <family val="2"/>
      <scheme val="minor"/>
    </font>
    <font>
      <sz val="11"/>
      <color rgb="FF006666"/>
      <name val="Calibri"/>
      <family val="2"/>
      <scheme val="minor"/>
    </font>
    <font>
      <sz val="11"/>
      <color rgb="FFC00000"/>
      <name val="Calibri"/>
      <family val="2"/>
      <scheme val="minor"/>
    </font>
    <font>
      <sz val="11"/>
      <color theme="0"/>
      <name val="Calibri"/>
      <family val="2"/>
      <scheme val="minor"/>
    </font>
    <font>
      <sz val="14"/>
      <color theme="0"/>
      <name val="Calibri"/>
      <family val="2"/>
      <scheme val="minor"/>
    </font>
    <font>
      <u/>
      <sz val="11"/>
      <color theme="10"/>
      <name val="Calibri"/>
      <family val="2"/>
      <scheme val="minor"/>
    </font>
    <font>
      <sz val="11"/>
      <color theme="1"/>
      <name val="Calibri"/>
      <family val="2"/>
      <scheme val="minor"/>
    </font>
    <font>
      <b/>
      <sz val="16"/>
      <color theme="1"/>
      <name val="Calibri"/>
      <family val="2"/>
      <scheme val="minor"/>
    </font>
    <font>
      <sz val="16"/>
      <color theme="1"/>
      <name val="Calibri"/>
      <family val="2"/>
      <scheme val="minor"/>
    </font>
    <font>
      <sz val="11"/>
      <color rgb="FF242424"/>
      <name val="Consolas"/>
      <charset val="1"/>
    </font>
  </fonts>
  <fills count="14">
    <fill>
      <patternFill patternType="none"/>
    </fill>
    <fill>
      <patternFill patternType="gray125"/>
    </fill>
    <fill>
      <patternFill patternType="solid">
        <fgColor theme="0"/>
        <bgColor indexed="64"/>
      </patternFill>
    </fill>
    <fill>
      <patternFill patternType="solid">
        <fgColor rgb="FFFFF9E7"/>
        <bgColor indexed="64"/>
      </patternFill>
    </fill>
    <fill>
      <patternFill patternType="solid">
        <fgColor rgb="FF9DA85E"/>
        <bgColor indexed="64"/>
      </patternFill>
    </fill>
    <fill>
      <patternFill patternType="solid">
        <fgColor theme="8" tint="0.79998168889431442"/>
        <bgColor indexed="64"/>
      </patternFill>
    </fill>
    <fill>
      <patternFill patternType="solid">
        <fgColor rgb="FF2981B9"/>
        <bgColor indexed="64"/>
      </patternFill>
    </fill>
    <fill>
      <patternFill patternType="solid">
        <fgColor rgb="FFF2F8E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002060"/>
        <bgColor indexed="64"/>
      </patternFill>
    </fill>
    <fill>
      <patternFill patternType="solid">
        <fgColor theme="7" tint="0.79998168889431442"/>
        <bgColor indexed="64"/>
      </patternFill>
    </fill>
    <fill>
      <patternFill patternType="solid">
        <fgColor rgb="FFFFFAEB"/>
        <bgColor indexed="64"/>
      </patternFill>
    </fill>
    <fill>
      <patternFill patternType="solid">
        <fgColor theme="0" tint="-0.14999847407452621"/>
        <bgColor indexed="64"/>
      </patternFill>
    </fill>
  </fills>
  <borders count="14">
    <border>
      <left/>
      <right/>
      <top/>
      <bottom/>
      <diagonal/>
    </border>
    <border>
      <left/>
      <right/>
      <top/>
      <bottom style="thin">
        <color indexed="64"/>
      </bottom>
      <diagonal/>
    </border>
    <border>
      <left/>
      <right/>
      <top/>
      <bottom style="thin">
        <color theme="2" tint="-9.9948118533890809E-2"/>
      </bottom>
      <diagonal/>
    </border>
    <border>
      <left/>
      <right/>
      <top/>
      <bottom style="thin">
        <color theme="2" tint="-0.24994659260841701"/>
      </bottom>
      <diagonal/>
    </border>
    <border>
      <left/>
      <right/>
      <top/>
      <bottom style="medium">
        <color rgb="FF9DA85E"/>
      </bottom>
      <diagonal/>
    </border>
    <border>
      <left/>
      <right/>
      <top/>
      <bottom style="medium">
        <color rgb="FF2981B9"/>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theme="4" tint="0.39997558519241921"/>
      </left>
      <right/>
      <top style="thin">
        <color theme="4" tint="0.39997558519241921"/>
      </top>
      <bottom style="medium">
        <color theme="4" tint="0.39997558519241921"/>
      </bottom>
      <diagonal/>
    </border>
    <border>
      <left/>
      <right style="thin">
        <color theme="4" tint="0.39997558519241921"/>
      </right>
      <top style="thin">
        <color theme="4" tint="0.39997558519241921"/>
      </top>
      <bottom style="medium">
        <color theme="4" tint="0.39997558519241921"/>
      </bottom>
      <diagonal/>
    </border>
    <border>
      <left/>
      <right/>
      <top/>
      <bottom style="thick">
        <color theme="1" tint="0.499984740745262"/>
      </bottom>
      <diagonal/>
    </border>
    <border>
      <left style="medium">
        <color theme="1" tint="4.9989318521683403E-2"/>
      </left>
      <right style="medium">
        <color theme="1" tint="4.9989318521683403E-2"/>
      </right>
      <top style="medium">
        <color theme="1" tint="4.9989318521683403E-2"/>
      </top>
      <bottom style="medium">
        <color theme="1" tint="4.9989318521683403E-2"/>
      </bottom>
      <diagonal/>
    </border>
  </borders>
  <cellStyleXfs count="6">
    <xf numFmtId="0" fontId="0" fillId="0" borderId="0"/>
    <xf numFmtId="0" fontId="10" fillId="0" borderId="0" applyNumberFormat="0" applyFill="0" applyBorder="0" applyAlignment="0" applyProtection="0"/>
    <xf numFmtId="0" fontId="11"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cellStyleXfs>
  <cellXfs count="80">
    <xf numFmtId="0" fontId="0" fillId="0" borderId="0" xfId="0"/>
    <xf numFmtId="0" fontId="2" fillId="0" borderId="1" xfId="0" applyFont="1" applyBorder="1"/>
    <xf numFmtId="0" fontId="0" fillId="0" borderId="1" xfId="0" applyBorder="1"/>
    <xf numFmtId="0" fontId="3" fillId="4" borderId="0" xfId="0" applyFont="1" applyFill="1"/>
    <xf numFmtId="3" fontId="0" fillId="0" borderId="0" xfId="0" applyNumberFormat="1"/>
    <xf numFmtId="0" fontId="1" fillId="0" borderId="0" xfId="0" applyFont="1"/>
    <xf numFmtId="0" fontId="0" fillId="5" borderId="2" xfId="0" applyFill="1" applyBorder="1"/>
    <xf numFmtId="3" fontId="0" fillId="3" borderId="2" xfId="0" applyNumberFormat="1" applyFill="1" applyBorder="1"/>
    <xf numFmtId="0" fontId="0" fillId="3" borderId="3" xfId="0" applyFill="1" applyBorder="1"/>
    <xf numFmtId="0" fontId="3" fillId="6" borderId="0" xfId="0" applyFont="1" applyFill="1"/>
    <xf numFmtId="0" fontId="0" fillId="7" borderId="0" xfId="0" applyFill="1"/>
    <xf numFmtId="14" fontId="0" fillId="0" borderId="0" xfId="0" applyNumberFormat="1"/>
    <xf numFmtId="0" fontId="4" fillId="0" borderId="0" xfId="0" applyFont="1"/>
    <xf numFmtId="0" fontId="5" fillId="0" borderId="0" xfId="0" applyFont="1"/>
    <xf numFmtId="0" fontId="6" fillId="0" borderId="0" xfId="0" applyFont="1"/>
    <xf numFmtId="0" fontId="7" fillId="0" borderId="0" xfId="0" applyFont="1"/>
    <xf numFmtId="0" fontId="0" fillId="2" borderId="0" xfId="0" applyFill="1"/>
    <xf numFmtId="0" fontId="8" fillId="0" borderId="0" xfId="0" applyFont="1"/>
    <xf numFmtId="0" fontId="9" fillId="2" borderId="0" xfId="0" applyFont="1" applyFill="1"/>
    <xf numFmtId="0" fontId="1" fillId="0" borderId="4" xfId="0" applyFont="1" applyBorder="1"/>
    <xf numFmtId="0" fontId="1" fillId="0" borderId="5" xfId="0" applyFont="1" applyBorder="1" applyAlignment="1">
      <alignment horizontal="left"/>
    </xf>
    <xf numFmtId="0" fontId="3" fillId="6" borderId="0" xfId="0" applyFont="1" applyFill="1" applyAlignment="1">
      <alignment horizontal="left"/>
    </xf>
    <xf numFmtId="0" fontId="1" fillId="0" borderId="5" xfId="0" applyFont="1" applyBorder="1"/>
    <xf numFmtId="0" fontId="0" fillId="0" borderId="0" xfId="0" applyAlignment="1">
      <alignment horizontal="left"/>
    </xf>
    <xf numFmtId="3" fontId="0" fillId="7" borderId="0" xfId="0" applyNumberFormat="1" applyFill="1"/>
    <xf numFmtId="0" fontId="10" fillId="0" borderId="0" xfId="1"/>
    <xf numFmtId="0" fontId="10" fillId="0" borderId="1" xfId="1" applyBorder="1"/>
    <xf numFmtId="166" fontId="0" fillId="0" borderId="0" xfId="0" applyNumberFormat="1"/>
    <xf numFmtId="0" fontId="0" fillId="7" borderId="0" xfId="0" applyNumberFormat="1" applyFill="1"/>
    <xf numFmtId="0" fontId="0" fillId="0" borderId="0" xfId="0" applyNumberFormat="1"/>
    <xf numFmtId="0" fontId="11" fillId="0" borderId="0" xfId="2"/>
    <xf numFmtId="0" fontId="1" fillId="0" borderId="4" xfId="2" applyFont="1" applyBorder="1"/>
    <xf numFmtId="0" fontId="1" fillId="0" borderId="6" xfId="2" applyFont="1" applyBorder="1"/>
    <xf numFmtId="0" fontId="1" fillId="0" borderId="0" xfId="2" applyFont="1"/>
    <xf numFmtId="3" fontId="11" fillId="0" borderId="0" xfId="2" applyNumberFormat="1"/>
    <xf numFmtId="0" fontId="1" fillId="0" borderId="5" xfId="2" applyFont="1" applyBorder="1" applyAlignment="1">
      <alignment horizontal="left"/>
    </xf>
    <xf numFmtId="3" fontId="11" fillId="3" borderId="2" xfId="2" applyNumberFormat="1" applyFill="1" applyBorder="1"/>
    <xf numFmtId="0" fontId="1" fillId="8" borderId="7" xfId="2" applyFont="1" applyFill="1" applyBorder="1"/>
    <xf numFmtId="0" fontId="11" fillId="0" borderId="7" xfId="2" applyBorder="1"/>
    <xf numFmtId="0" fontId="1" fillId="9" borderId="0" xfId="0" applyFont="1" applyFill="1"/>
    <xf numFmtId="0" fontId="1" fillId="0" borderId="0" xfId="0" applyFont="1" applyAlignment="1">
      <alignment horizontal="center"/>
    </xf>
    <xf numFmtId="0" fontId="8" fillId="10" borderId="7" xfId="0" applyFont="1" applyFill="1" applyBorder="1"/>
    <xf numFmtId="14" fontId="0" fillId="7" borderId="0" xfId="0" applyNumberFormat="1" applyFill="1"/>
    <xf numFmtId="0" fontId="0" fillId="0" borderId="8" xfId="0" applyBorder="1"/>
    <xf numFmtId="0" fontId="0" fillId="11" borderId="8" xfId="0" applyFill="1" applyBorder="1"/>
    <xf numFmtId="0" fontId="0" fillId="0" borderId="9" xfId="0" applyBorder="1"/>
    <xf numFmtId="10" fontId="0" fillId="11" borderId="9" xfId="5" applyNumberFormat="1" applyFont="1" applyFill="1" applyBorder="1"/>
    <xf numFmtId="3" fontId="0" fillId="11" borderId="9" xfId="0" applyNumberFormat="1" applyFill="1" applyBorder="1"/>
    <xf numFmtId="0" fontId="1" fillId="0" borderId="5" xfId="0" applyFont="1" applyBorder="1" applyAlignment="1">
      <alignment horizontal="center"/>
    </xf>
    <xf numFmtId="4" fontId="0" fillId="0" borderId="0" xfId="0" applyNumberFormat="1"/>
    <xf numFmtId="8" fontId="0" fillId="0" borderId="0" xfId="0" applyNumberFormat="1"/>
    <xf numFmtId="165" fontId="0" fillId="0" borderId="0" xfId="3" applyNumberFormat="1" applyFont="1"/>
    <xf numFmtId="165" fontId="1" fillId="0" borderId="5" xfId="3" applyNumberFormat="1" applyFont="1" applyBorder="1" applyAlignment="1">
      <alignment horizontal="center"/>
    </xf>
    <xf numFmtId="165" fontId="0" fillId="7" borderId="0" xfId="3" applyNumberFormat="1" applyFont="1" applyFill="1"/>
    <xf numFmtId="0" fontId="11" fillId="0" borderId="0" xfId="2" quotePrefix="1"/>
    <xf numFmtId="0" fontId="1" fillId="0" borderId="0" xfId="0" applyFont="1" applyFill="1" applyBorder="1"/>
    <xf numFmtId="0" fontId="0" fillId="0" borderId="0" xfId="0" applyFill="1" applyBorder="1"/>
    <xf numFmtId="0" fontId="1" fillId="0" borderId="0" xfId="0" applyFont="1" applyFill="1" applyBorder="1" applyAlignment="1">
      <alignment horizontal="left"/>
    </xf>
    <xf numFmtId="0" fontId="1" fillId="0" borderId="10" xfId="0" applyFont="1" applyBorder="1"/>
    <xf numFmtId="0" fontId="1" fillId="0" borderId="11" xfId="0" applyFont="1" applyBorder="1"/>
    <xf numFmtId="167" fontId="0" fillId="0" borderId="0" xfId="4" applyNumberFormat="1" applyFont="1"/>
    <xf numFmtId="0" fontId="0" fillId="0" borderId="0" xfId="0" applyBorder="1"/>
    <xf numFmtId="0" fontId="0" fillId="0" borderId="0" xfId="0" applyAlignment="1">
      <alignment horizontal="center"/>
    </xf>
    <xf numFmtId="0" fontId="2" fillId="0" borderId="0" xfId="0" applyFont="1" applyBorder="1"/>
    <xf numFmtId="168" fontId="0" fillId="7" borderId="0" xfId="0" applyNumberFormat="1" applyFill="1"/>
    <xf numFmtId="0" fontId="1" fillId="0" borderId="12" xfId="0" applyFont="1" applyBorder="1"/>
    <xf numFmtId="0" fontId="0" fillId="12" borderId="0" xfId="0" applyFill="1"/>
    <xf numFmtId="0" fontId="12" fillId="0" borderId="0" xfId="0" applyFont="1"/>
    <xf numFmtId="0" fontId="13" fillId="0" borderId="0" xfId="0" applyFont="1"/>
    <xf numFmtId="0" fontId="1" fillId="0" borderId="0" xfId="0" quotePrefix="1" applyFont="1"/>
    <xf numFmtId="0" fontId="1" fillId="0" borderId="0" xfId="0" applyFont="1" applyAlignment="1"/>
    <xf numFmtId="9" fontId="0" fillId="0" borderId="0" xfId="0" applyNumberFormat="1"/>
    <xf numFmtId="0" fontId="1" fillId="9" borderId="13" xfId="0" applyFont="1" applyFill="1" applyBorder="1" applyAlignment="1">
      <alignment horizontal="center"/>
    </xf>
    <xf numFmtId="0" fontId="0" fillId="0" borderId="13" xfId="0" applyBorder="1" applyAlignment="1">
      <alignment horizontal="center"/>
    </xf>
    <xf numFmtId="9" fontId="0" fillId="0" borderId="13" xfId="5" applyFont="1" applyBorder="1" applyAlignment="1">
      <alignment horizontal="center"/>
    </xf>
    <xf numFmtId="0" fontId="0" fillId="13" borderId="0" xfId="0" applyNumberFormat="1" applyFill="1"/>
    <xf numFmtId="0" fontId="0" fillId="7" borderId="0" xfId="0" applyFill="1" applyAlignment="1">
      <alignment wrapText="1"/>
    </xf>
    <xf numFmtId="3" fontId="0" fillId="7" borderId="0" xfId="0" applyNumberFormat="1" applyFill="1" applyAlignment="1">
      <alignment wrapText="1"/>
    </xf>
    <xf numFmtId="0" fontId="14" fillId="0" borderId="0" xfId="0" applyFont="1" applyAlignment="1">
      <alignment wrapText="1"/>
    </xf>
    <xf numFmtId="0" fontId="0" fillId="0" borderId="0" xfId="0" applyAlignment="1">
      <alignment wrapText="1"/>
    </xf>
  </cellXfs>
  <cellStyles count="6">
    <cellStyle name="Comma" xfId="3" builtinId="3"/>
    <cellStyle name="Currency" xfId="4" builtinId="4"/>
    <cellStyle name="Hyperlink" xfId="1" builtinId="8"/>
    <cellStyle name="Normal" xfId="0" builtinId="0"/>
    <cellStyle name="Normal 2" xfId="2" xr:uid="{968BB1C8-F5D5-4901-91E3-E3CD78EC5A9F}"/>
    <cellStyle name="Percent" xfId="5" builtinId="5"/>
  </cellStyles>
  <dxfs count="6">
    <dxf>
      <font>
        <b val="0"/>
        <i val="0"/>
        <color theme="9" tint="-0.24994659260841701"/>
      </font>
    </dxf>
    <dxf>
      <font>
        <b/>
        <i val="0"/>
        <strike val="0"/>
        <condense val="0"/>
        <extend val="0"/>
        <outline val="0"/>
        <shadow val="0"/>
        <u val="none"/>
        <vertAlign val="baseline"/>
        <sz val="11"/>
        <color theme="0"/>
        <name val="Calibri"/>
        <family val="2"/>
        <scheme val="minor"/>
      </font>
      <fill>
        <patternFill patternType="solid">
          <fgColor indexed="64"/>
          <bgColor rgb="FF9DA85E"/>
        </patternFill>
      </fill>
    </dxf>
    <dxf>
      <numFmt numFmtId="3" formatCode="#,##0"/>
    </dxf>
    <dxf>
      <font>
        <b/>
        <i val="0"/>
        <strike val="0"/>
        <condense val="0"/>
        <extend val="0"/>
        <outline val="0"/>
        <shadow val="0"/>
        <u val="none"/>
        <vertAlign val="baseline"/>
        <sz val="11"/>
        <color theme="0"/>
        <name val="Calibri"/>
        <family val="2"/>
        <scheme val="minor"/>
      </font>
      <fill>
        <patternFill patternType="solid">
          <fgColor indexed="64"/>
          <bgColor rgb="FF9DA85E"/>
        </patternFill>
      </fill>
    </dxf>
    <dxf>
      <numFmt numFmtId="3" formatCode="#,##0"/>
    </dxf>
    <dxf>
      <font>
        <b/>
        <i val="0"/>
        <strike val="0"/>
        <condense val="0"/>
        <extend val="0"/>
        <outline val="0"/>
        <shadow val="0"/>
        <u val="none"/>
        <vertAlign val="baseline"/>
        <sz val="11"/>
        <color theme="0"/>
        <name val="Calibri"/>
        <family val="2"/>
        <scheme val="minor"/>
      </font>
      <fill>
        <patternFill patternType="solid">
          <fgColor indexed="64"/>
          <bgColor rgb="FF9DA85E"/>
        </patternFill>
      </fill>
    </dxf>
  </dxfs>
  <tableStyles count="0" defaultTableStyle="TableStyleMedium2" defaultPivotStyle="PivotStyleLight16"/>
  <colors>
    <mruColors>
      <color rgb="FFF2F8EE"/>
      <color rgb="FF2981B9"/>
      <color rgb="FF9DA85E"/>
      <color rgb="FF006666"/>
      <color rgb="FFE6834F"/>
      <color rgb="FFFFAFAF"/>
      <color rgb="FF2FFFFF"/>
      <color rgb="FF29B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ichStyles" Target="richData/richStyles.xml"/><Relationship Id="rId30"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'Excel LIMITS'!$C$3</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A-46B0-9CB7-AE9FB170C3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A-46B0-9CB7-AE9FB170C3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0A-46B0-9CB7-AE9FB170C3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0A-46B0-9CB7-AE9FB170C3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'Excel LIMITS'!$B$4:$B$7</c:f>
              <c:strCache>
                <c:ptCount val="4"/>
                <c:pt idx="0">
                  <c:v>North</c:v>
                </c:pt>
                <c:pt idx="1">
                  <c:v>South</c:v>
                </c:pt>
                <c:pt idx="2">
                  <c:v>West</c:v>
                </c:pt>
                <c:pt idx="3">
                  <c:v>East</c:v>
                </c:pt>
              </c:strCache>
            </c:strRef>
          </c:cat>
          <c:val>
            <c:numRef>
              <c:f>'Excel LIMITS'!$C$4:$C$7</c:f>
              <c:numCache>
                <c:formatCode>General</c:formatCode>
                <c:ptCount val="4"/>
                <c:pt idx="0">
                  <c:v>2756</c:v>
                </c:pt>
                <c:pt idx="1">
                  <c:v>5487</c:v>
                </c:pt>
                <c:pt idx="2">
                  <c:v>6547</c:v>
                </c:pt>
                <c:pt idx="3">
                  <c:v>4576</c:v>
                </c:pt>
              </c:numCache>
            </c:numRef>
          </c:val>
          <c:extLst>
            <c:ext xmlns:c16="http://schemas.microsoft.com/office/drawing/2014/chart" uri="{C3380CC4-5D6E-409C-BE32-E72D297353CC}">
              <c16:uniqueId val="{00000000-C3AD-4D42-9094-EDCB7FD1C854}"/>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'Excel LIMITS'!$D$3</c:f>
              <c:strCache>
                <c:ptCount val="1"/>
                <c:pt idx="0">
                  <c:v>Profit</c:v>
                </c:pt>
              </c:strCache>
            </c:strRef>
          </c:tx>
          <c:spPr>
            <a:solidFill>
              <a:schemeClr val="accent1"/>
            </a:solidFill>
            <a:ln>
              <a:noFill/>
            </a:ln>
            <a:effectLst/>
          </c:spPr>
          <c:invertIfNegative val="0"/>
          <c:cat>
            <c:strRef>
              <c:f>'Excel LIMITS'!$B$4:$B$7</c:f>
              <c:strCache>
                <c:ptCount val="4"/>
                <c:pt idx="0">
                  <c:v>North</c:v>
                </c:pt>
                <c:pt idx="1">
                  <c:v>South</c:v>
                </c:pt>
                <c:pt idx="2">
                  <c:v>West</c:v>
                </c:pt>
                <c:pt idx="3">
                  <c:v>East</c:v>
                </c:pt>
              </c:strCache>
            </c:strRef>
          </c:cat>
          <c:val>
            <c:numRef>
              <c:f>'Excel LIMITS'!$D$4:$D$7</c:f>
              <c:numCache>
                <c:formatCode>General</c:formatCode>
                <c:ptCount val="4"/>
                <c:pt idx="0">
                  <c:v>524</c:v>
                </c:pt>
                <c:pt idx="1">
                  <c:v>867</c:v>
                </c:pt>
                <c:pt idx="2">
                  <c:v>1023</c:v>
                </c:pt>
                <c:pt idx="3">
                  <c:v>264</c:v>
                </c:pt>
              </c:numCache>
            </c:numRef>
          </c:val>
          <c:extLst>
            <c:ext xmlns:c16="http://schemas.microsoft.com/office/drawing/2014/chart" uri="{C3380CC4-5D6E-409C-BE32-E72D297353CC}">
              <c16:uniqueId val="{00000000-B622-4165-8BCA-DCE319B1AFDB}"/>
            </c:ext>
          </c:extLst>
        </c:ser>
        <c:dLbls>
          <c:showLegendKey val="0"/>
          <c:showVal val="0"/>
          <c:showCatName val="0"/>
          <c:showSerName val="0"/>
          <c:showPercent val="0"/>
          <c:showBubbleSize val="0"/>
        </c:dLbls>
        <c:gapWidth val="219"/>
        <c:overlap val="-27"/>
        <c:axId val="368472271"/>
        <c:axId val="155539535"/>
      </c:barChart>
      <c:catAx>
        <c:axId val="3684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9535"/>
        <c:crosses val="autoZero"/>
        <c:auto val="1"/>
        <c:lblAlgn val="ctr"/>
        <c:lblOffset val="100"/>
        <c:noMultiLvlLbl val="0"/>
      </c:catAx>
      <c:valAx>
        <c:axId val="15553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funnel" uniqueId="{00000000-AF0A-4CBC-B0F5-E0F4EF7022AE}">
          <cx:tx>
            <cx:txData>
              <cx:f>_xlchart.v2.1</cx:f>
              <cx:v>Leads Remaining</cx:v>
            </cx:txData>
          </cx:tx>
          <cx:spPr>
            <a:solidFill>
              <a:srgbClr val="FFC000"/>
            </a:solidFill>
            <a:ln w="12700">
              <a:solidFill>
                <a:srgbClr val="FFC000"/>
              </a:solidFill>
              <a:prstDash val="solid"/>
            </a:ln>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L$1" lockText="1" noThreeD="1"/>
</file>

<file path=xl/ctrlProps/ctrlProp2.xml><?xml version="1.0" encoding="utf-8"?>
<formControlPr xmlns="http://schemas.microsoft.com/office/spreadsheetml/2009/9/main" objectType="CheckBox" fmlaLink="$L$2" lockText="1" noThreeD="1"/>
</file>

<file path=xl/ctrlProps/ctrlProp3.xml><?xml version="1.0" encoding="utf-8"?>
<formControlPr xmlns="http://schemas.microsoft.com/office/spreadsheetml/2009/9/main" objectType="CheckBox" fmlaLink="$L$3" lockText="1" noThreeD="1"/>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333375</xdr:colOff>
      <xdr:row>0</xdr:row>
      <xdr:rowOff>180975</xdr:rowOff>
    </xdr:from>
    <xdr:to>
      <xdr:col>11</xdr:col>
      <xdr:colOff>581025</xdr:colOff>
      <xdr:row>4</xdr:row>
      <xdr:rowOff>152400</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4762500" y="180975"/>
          <a:ext cx="3810000" cy="828675"/>
          <a:chOff x="5229225" y="190500"/>
          <a:chExt cx="3810000" cy="857250"/>
        </a:xfrm>
      </xdr:grpSpPr>
      <xdr:sp macro="" textlink="">
        <xdr:nvSpPr>
          <xdr:cNvPr id="2" name="Rectangle 1">
            <a:extLst>
              <a:ext uri="{FF2B5EF4-FFF2-40B4-BE49-F238E27FC236}">
                <a16:creationId xmlns:a16="http://schemas.microsoft.com/office/drawing/2014/main" id="{00000000-0008-0000-0000-000002000000}"/>
              </a:ext>
            </a:extLst>
          </xdr:cNvPr>
          <xdr:cNvSpPr/>
        </xdr:nvSpPr>
        <xdr:spPr>
          <a:xfrm>
            <a:off x="6048375" y="190500"/>
            <a:ext cx="2990850" cy="85725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Typing in =A6:C20 in G5 and</a:t>
            </a:r>
            <a:r>
              <a:rPr lang="en-US" sz="1100" baseline="0">
                <a:solidFill>
                  <a:sysClr val="windowText" lastClr="000000"/>
                </a:solidFill>
              </a:rPr>
              <a:t> pressing Enter gives us a spilled array of all source cells. </a:t>
            </a:r>
          </a:p>
          <a:p>
            <a:pPr algn="l"/>
            <a:r>
              <a:rPr lang="en-US" sz="1100" baseline="0">
                <a:solidFill>
                  <a:sysClr val="windowText" lastClr="000000"/>
                </a:solidFill>
              </a:rPr>
              <a:t>Click anywhere inside the range and you see the blue border where the "spill" has occurred.</a:t>
            </a:r>
            <a:endParaRPr lang="en-US" sz="1100">
              <a:solidFill>
                <a:sysClr val="windowText" lastClr="000000"/>
              </a:solidFill>
            </a:endParaRPr>
          </a:p>
        </xdr:txBody>
      </xdr:sp>
      <xdr:sp macro="" textlink="">
        <xdr:nvSpPr>
          <xdr:cNvPr id="3" name="Freeform: Shape 2">
            <a:extLst>
              <a:ext uri="{FF2B5EF4-FFF2-40B4-BE49-F238E27FC236}">
                <a16:creationId xmlns:a16="http://schemas.microsoft.com/office/drawing/2014/main" id="{00000000-0008-0000-0000-000003000000}"/>
              </a:ext>
            </a:extLst>
          </xdr:cNvPr>
          <xdr:cNvSpPr/>
        </xdr:nvSpPr>
        <xdr:spPr>
          <a:xfrm>
            <a:off x="5229225" y="762000"/>
            <a:ext cx="781050" cy="200025"/>
          </a:xfrm>
          <a:custGeom>
            <a:avLst/>
            <a:gdLst>
              <a:gd name="connsiteX0" fmla="*/ 781050 w 781050"/>
              <a:gd name="connsiteY0" fmla="*/ 0 h 200025"/>
              <a:gd name="connsiteX1" fmla="*/ 295275 w 781050"/>
              <a:gd name="connsiteY1" fmla="*/ 85725 h 200025"/>
              <a:gd name="connsiteX2" fmla="*/ 0 w 781050"/>
              <a:gd name="connsiteY2" fmla="*/ 200025 h 200025"/>
              <a:gd name="connsiteX3" fmla="*/ 0 w 781050"/>
              <a:gd name="connsiteY3" fmla="*/ 200025 h 200025"/>
            </a:gdLst>
            <a:ahLst/>
            <a:cxnLst>
              <a:cxn ang="0">
                <a:pos x="connsiteX0" y="connsiteY0"/>
              </a:cxn>
              <a:cxn ang="0">
                <a:pos x="connsiteX1" y="connsiteY1"/>
              </a:cxn>
              <a:cxn ang="0">
                <a:pos x="connsiteX2" y="connsiteY2"/>
              </a:cxn>
              <a:cxn ang="0">
                <a:pos x="connsiteX3" y="connsiteY3"/>
              </a:cxn>
            </a:cxnLst>
            <a:rect l="l" t="t" r="r" b="b"/>
            <a:pathLst>
              <a:path w="781050" h="200025">
                <a:moveTo>
                  <a:pt x="781050" y="0"/>
                </a:moveTo>
                <a:cubicBezTo>
                  <a:pt x="603250" y="26194"/>
                  <a:pt x="425450" y="52388"/>
                  <a:pt x="295275" y="85725"/>
                </a:cubicBezTo>
                <a:cubicBezTo>
                  <a:pt x="165100" y="119062"/>
                  <a:pt x="0" y="200025"/>
                  <a:pt x="0" y="200025"/>
                </a:cubicBezTo>
                <a:lnTo>
                  <a:pt x="0" y="200025"/>
                </a:lnTo>
              </a:path>
            </a:pathLst>
          </a:custGeom>
          <a:noFill/>
          <a:ln w="19050">
            <a:solidFill>
              <a:schemeClr val="accent6">
                <a:lumMod val="60000"/>
                <a:lumOff val="40000"/>
              </a:schemeClr>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360711</xdr:colOff>
      <xdr:row>21</xdr:row>
      <xdr:rowOff>83127</xdr:rowOff>
    </xdr:from>
    <xdr:to>
      <xdr:col>7</xdr:col>
      <xdr:colOff>923924</xdr:colOff>
      <xdr:row>23</xdr:row>
      <xdr:rowOff>352425</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3041566" y="4010891"/>
          <a:ext cx="3216358" cy="629516"/>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The advantage</a:t>
          </a:r>
          <a:r>
            <a:rPr lang="en-US" sz="1100" baseline="0">
              <a:solidFill>
                <a:sysClr val="windowText" lastClr="000000"/>
              </a:solidFill>
            </a:rPr>
            <a:t> to using an Excel Table as the source data is that the spilled array automatically expands as new data rows are added to the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302761</xdr:colOff>
      <xdr:row>15</xdr:row>
      <xdr:rowOff>114300</xdr:rowOff>
    </xdr:from>
    <xdr:to>
      <xdr:col>4</xdr:col>
      <xdr:colOff>300560</xdr:colOff>
      <xdr:row>22</xdr:row>
      <xdr:rowOff>70374</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1541011" y="2962275"/>
          <a:ext cx="2379049" cy="1222899"/>
          <a:chOff x="4891411" y="-245628"/>
          <a:chExt cx="4353527" cy="1514512"/>
        </a:xfrm>
      </xdr:grpSpPr>
      <xdr:sp macro="" textlink="">
        <xdr:nvSpPr>
          <xdr:cNvPr id="3" name="Rectangle 2">
            <a:extLst>
              <a:ext uri="{FF2B5EF4-FFF2-40B4-BE49-F238E27FC236}">
                <a16:creationId xmlns:a16="http://schemas.microsoft.com/office/drawing/2014/main" id="{00000000-0008-0000-0100-000003000000}"/>
              </a:ext>
            </a:extLst>
          </xdr:cNvPr>
          <xdr:cNvSpPr/>
        </xdr:nvSpPr>
        <xdr:spPr>
          <a:xfrm>
            <a:off x="5874285" y="-169875"/>
            <a:ext cx="3370653" cy="1438759"/>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Use XLOOKUP to find the ID &amp; Sales of each employee</a:t>
            </a:r>
            <a:r>
              <a:rPr lang="en-US" sz="1100" baseline="0">
                <a:solidFill>
                  <a:sysClr val="windowText" lastClr="000000"/>
                </a:solidFill>
              </a:rPr>
              <a:t> from the </a:t>
            </a:r>
            <a:r>
              <a:rPr lang="en-US" sz="1100" b="1" baseline="0">
                <a:solidFill>
                  <a:sysClr val="windowText" lastClr="000000"/>
                </a:solidFill>
              </a:rPr>
              <a:t>Data</a:t>
            </a:r>
            <a:r>
              <a:rPr lang="en-US" sz="1100" baseline="0">
                <a:solidFill>
                  <a:sysClr val="windowText" lastClr="000000"/>
                </a:solidFill>
              </a:rPr>
              <a:t> sheet.</a:t>
            </a:r>
            <a:endParaRPr lang="en-US" sz="1100">
              <a:solidFill>
                <a:sysClr val="windowText" lastClr="000000"/>
              </a:solidFill>
            </a:endParaRPr>
          </a:p>
        </xdr:txBody>
      </xdr:sp>
      <xdr:sp macro="" textlink="">
        <xdr:nvSpPr>
          <xdr:cNvPr id="4" name="Freeform: Shape 3">
            <a:extLst>
              <a:ext uri="{FF2B5EF4-FFF2-40B4-BE49-F238E27FC236}">
                <a16:creationId xmlns:a16="http://schemas.microsoft.com/office/drawing/2014/main" id="{00000000-0008-0000-0100-000004000000}"/>
              </a:ext>
            </a:extLst>
          </xdr:cNvPr>
          <xdr:cNvSpPr/>
        </xdr:nvSpPr>
        <xdr:spPr>
          <a:xfrm rot="360361" flipV="1">
            <a:off x="4891411" y="-245628"/>
            <a:ext cx="781050" cy="420599"/>
          </a:xfrm>
          <a:custGeom>
            <a:avLst/>
            <a:gdLst>
              <a:gd name="connsiteX0" fmla="*/ 781050 w 781050"/>
              <a:gd name="connsiteY0" fmla="*/ 0 h 200025"/>
              <a:gd name="connsiteX1" fmla="*/ 295275 w 781050"/>
              <a:gd name="connsiteY1" fmla="*/ 85725 h 200025"/>
              <a:gd name="connsiteX2" fmla="*/ 0 w 781050"/>
              <a:gd name="connsiteY2" fmla="*/ 200025 h 200025"/>
              <a:gd name="connsiteX3" fmla="*/ 0 w 781050"/>
              <a:gd name="connsiteY3" fmla="*/ 200025 h 200025"/>
            </a:gdLst>
            <a:ahLst/>
            <a:cxnLst>
              <a:cxn ang="0">
                <a:pos x="connsiteX0" y="connsiteY0"/>
              </a:cxn>
              <a:cxn ang="0">
                <a:pos x="connsiteX1" y="connsiteY1"/>
              </a:cxn>
              <a:cxn ang="0">
                <a:pos x="connsiteX2" y="connsiteY2"/>
              </a:cxn>
              <a:cxn ang="0">
                <a:pos x="connsiteX3" y="connsiteY3"/>
              </a:cxn>
            </a:cxnLst>
            <a:rect l="l" t="t" r="r" b="b"/>
            <a:pathLst>
              <a:path w="781050" h="200025">
                <a:moveTo>
                  <a:pt x="781050" y="0"/>
                </a:moveTo>
                <a:cubicBezTo>
                  <a:pt x="603250" y="26194"/>
                  <a:pt x="425450" y="52388"/>
                  <a:pt x="295275" y="85725"/>
                </a:cubicBezTo>
                <a:cubicBezTo>
                  <a:pt x="165100" y="119062"/>
                  <a:pt x="0" y="200025"/>
                  <a:pt x="0" y="200025"/>
                </a:cubicBezTo>
                <a:lnTo>
                  <a:pt x="0" y="200025"/>
                </a:lnTo>
              </a:path>
            </a:pathLst>
          </a:custGeom>
          <a:noFill/>
          <a:ln w="19050">
            <a:solidFill>
              <a:schemeClr val="accent6">
                <a:lumMod val="60000"/>
                <a:lumOff val="40000"/>
              </a:schemeClr>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112644</xdr:colOff>
      <xdr:row>37</xdr:row>
      <xdr:rowOff>106018</xdr:rowOff>
    </xdr:from>
    <xdr:to>
      <xdr:col>7</xdr:col>
      <xdr:colOff>549966</xdr:colOff>
      <xdr:row>37</xdr:row>
      <xdr:rowOff>106018</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a:xfrm flipH="1">
          <a:off x="6082748" y="7030279"/>
          <a:ext cx="437322"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92765</xdr:colOff>
      <xdr:row>36</xdr:row>
      <xdr:rowOff>106019</xdr:rowOff>
    </xdr:from>
    <xdr:to>
      <xdr:col>14</xdr:col>
      <xdr:colOff>530087</xdr:colOff>
      <xdr:row>36</xdr:row>
      <xdr:rowOff>106019</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10886661" y="6844749"/>
          <a:ext cx="437322"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273367</xdr:colOff>
      <xdr:row>5</xdr:row>
      <xdr:rowOff>49530</xdr:rowOff>
    </xdr:from>
    <xdr:to>
      <xdr:col>9</xdr:col>
      <xdr:colOff>554356</xdr:colOff>
      <xdr:row>8</xdr:row>
      <xdr:rowOff>148590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6207442" y="1021080"/>
          <a:ext cx="1500189" cy="651510"/>
          <a:chOff x="5493596" y="190500"/>
          <a:chExt cx="4465441" cy="857250"/>
        </a:xfrm>
      </xdr:grpSpPr>
      <xdr:sp macro="" textlink="">
        <xdr:nvSpPr>
          <xdr:cNvPr id="3" name="Rectangle 2">
            <a:extLst>
              <a:ext uri="{FF2B5EF4-FFF2-40B4-BE49-F238E27FC236}">
                <a16:creationId xmlns:a16="http://schemas.microsoft.com/office/drawing/2014/main" id="{00000000-0008-0000-0600-000003000000}"/>
              </a:ext>
            </a:extLst>
          </xdr:cNvPr>
          <xdr:cNvSpPr/>
        </xdr:nvSpPr>
        <xdr:spPr>
          <a:xfrm>
            <a:off x="6048374" y="190500"/>
            <a:ext cx="3910663" cy="85725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Get the total revenue by Department.</a:t>
            </a:r>
          </a:p>
        </xdr:txBody>
      </xdr:sp>
      <xdr:sp macro="" textlink="">
        <xdr:nvSpPr>
          <xdr:cNvPr id="4" name="Freeform: Shape 3">
            <a:extLst>
              <a:ext uri="{FF2B5EF4-FFF2-40B4-BE49-F238E27FC236}">
                <a16:creationId xmlns:a16="http://schemas.microsoft.com/office/drawing/2014/main" id="{00000000-0008-0000-0600-000004000000}"/>
              </a:ext>
            </a:extLst>
          </xdr:cNvPr>
          <xdr:cNvSpPr/>
        </xdr:nvSpPr>
        <xdr:spPr>
          <a:xfrm flipV="1">
            <a:off x="5493596" y="343229"/>
            <a:ext cx="489698" cy="206922"/>
          </a:xfrm>
          <a:custGeom>
            <a:avLst/>
            <a:gdLst>
              <a:gd name="connsiteX0" fmla="*/ 781050 w 781050"/>
              <a:gd name="connsiteY0" fmla="*/ 0 h 200025"/>
              <a:gd name="connsiteX1" fmla="*/ 295275 w 781050"/>
              <a:gd name="connsiteY1" fmla="*/ 85725 h 200025"/>
              <a:gd name="connsiteX2" fmla="*/ 0 w 781050"/>
              <a:gd name="connsiteY2" fmla="*/ 200025 h 200025"/>
              <a:gd name="connsiteX3" fmla="*/ 0 w 781050"/>
              <a:gd name="connsiteY3" fmla="*/ 200025 h 200025"/>
            </a:gdLst>
            <a:ahLst/>
            <a:cxnLst>
              <a:cxn ang="0">
                <a:pos x="connsiteX0" y="connsiteY0"/>
              </a:cxn>
              <a:cxn ang="0">
                <a:pos x="connsiteX1" y="connsiteY1"/>
              </a:cxn>
              <a:cxn ang="0">
                <a:pos x="connsiteX2" y="connsiteY2"/>
              </a:cxn>
              <a:cxn ang="0">
                <a:pos x="connsiteX3" y="connsiteY3"/>
              </a:cxn>
            </a:cxnLst>
            <a:rect l="l" t="t" r="r" b="b"/>
            <a:pathLst>
              <a:path w="781050" h="200025">
                <a:moveTo>
                  <a:pt x="781050" y="0"/>
                </a:moveTo>
                <a:cubicBezTo>
                  <a:pt x="603250" y="26194"/>
                  <a:pt x="425450" y="52388"/>
                  <a:pt x="295275" y="85725"/>
                </a:cubicBezTo>
                <a:cubicBezTo>
                  <a:pt x="165100" y="119062"/>
                  <a:pt x="0" y="200025"/>
                  <a:pt x="0" y="200025"/>
                </a:cubicBezTo>
                <a:lnTo>
                  <a:pt x="0" y="200025"/>
                </a:lnTo>
              </a:path>
            </a:pathLst>
          </a:custGeom>
          <a:noFill/>
          <a:ln w="19050">
            <a:solidFill>
              <a:schemeClr val="accent6">
                <a:lumMod val="60000"/>
                <a:lumOff val="40000"/>
              </a:schemeClr>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15240</xdr:colOff>
          <xdr:row>1</xdr:row>
          <xdr:rowOff>175260</xdr:rowOff>
        </xdr:from>
        <xdr:to>
          <xdr:col>8</xdr:col>
          <xdr:colOff>228600</xdr:colOff>
          <xdr:row>3</xdr:row>
          <xdr:rowOff>30480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8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1. 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xdr:colOff>
          <xdr:row>3</xdr:row>
          <xdr:rowOff>15240</xdr:rowOff>
        </xdr:from>
        <xdr:to>
          <xdr:col>8</xdr:col>
          <xdr:colOff>228600</xdr:colOff>
          <xdr:row>4</xdr:row>
          <xdr:rowOff>53340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8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2. 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xdr:colOff>
          <xdr:row>4</xdr:row>
          <xdr:rowOff>22860</xdr:rowOff>
        </xdr:from>
        <xdr:to>
          <xdr:col>8</xdr:col>
          <xdr:colOff>228600</xdr:colOff>
          <xdr:row>5</xdr:row>
          <xdr:rowOff>68580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8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3. Done</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3</xdr:col>
      <xdr:colOff>561975</xdr:colOff>
      <xdr:row>4</xdr:row>
      <xdr:rowOff>0</xdr:rowOff>
    </xdr:from>
    <xdr:to>
      <xdr:col>12</xdr:col>
      <xdr:colOff>276225</xdr:colOff>
      <xdr:row>21</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4D14E99-FE8E-A6AD-105E-F418875E4A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261938</xdr:colOff>
      <xdr:row>0</xdr:row>
      <xdr:rowOff>66676</xdr:rowOff>
    </xdr:from>
    <xdr:to>
      <xdr:col>7</xdr:col>
      <xdr:colOff>495300</xdr:colOff>
      <xdr:row>10</xdr:row>
      <xdr:rowOff>138114</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190499</xdr:colOff>
      <xdr:row>0</xdr:row>
      <xdr:rowOff>47625</xdr:rowOff>
    </xdr:from>
    <xdr:to>
      <xdr:col>14</xdr:col>
      <xdr:colOff>9525</xdr:colOff>
      <xdr:row>10</xdr:row>
      <xdr:rowOff>147638</xdr:rowOff>
    </xdr:to>
    <xdr:graphicFrame macro="">
      <xdr:nvGraphicFramePr>
        <xdr:cNvPr id="4" name="Chart 3">
          <a:extLst>
            <a:ext uri="{FF2B5EF4-FFF2-40B4-BE49-F238E27FC236}">
              <a16:creationId xmlns:a16="http://schemas.microsoft.com/office/drawing/2014/main" id="{00000000-0008-0000-0D00-000004000000}"/>
            </a:ext>
            <a:ext uri="{147F2762-F138-4A5C-976F-8EAC2B608ADB}">
              <a16:predDERef xmlns:a16="http://schemas.microsoft.com/office/drawing/2014/main" pre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533400</xdr:colOff>
      <xdr:row>11</xdr:row>
      <xdr:rowOff>14288</xdr:rowOff>
    </xdr:from>
    <xdr:to>
      <xdr:col>11</xdr:col>
      <xdr:colOff>390525</xdr:colOff>
      <xdr:row>14</xdr:row>
      <xdr:rowOff>128588</xdr:rowOff>
    </xdr:to>
    <xdr:sp macro="" textlink="">
      <xdr:nvSpPr>
        <xdr:cNvPr id="10" name="Arrow: Curved Up 9">
          <a:extLst>
            <a:ext uri="{FF2B5EF4-FFF2-40B4-BE49-F238E27FC236}">
              <a16:creationId xmlns:a16="http://schemas.microsoft.com/office/drawing/2014/main" id="{00000000-0008-0000-0D00-00000A000000}"/>
            </a:ext>
          </a:extLst>
        </xdr:cNvPr>
        <xdr:cNvSpPr/>
      </xdr:nvSpPr>
      <xdr:spPr>
        <a:xfrm>
          <a:off x="3581400" y="2005013"/>
          <a:ext cx="3514725" cy="657225"/>
        </a:xfrm>
        <a:prstGeom prst="curvedUpArrow">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oneCellAnchor>
    <xdr:from>
      <xdr:col>7</xdr:col>
      <xdr:colOff>381000</xdr:colOff>
      <xdr:row>12</xdr:row>
      <xdr:rowOff>80962</xdr:rowOff>
    </xdr:from>
    <xdr:ext cx="1252459" cy="311496"/>
    <xdr:sp macro="" textlink="">
      <xdr:nvSpPr>
        <xdr:cNvPr id="12" name="TextBox 11">
          <a:extLst>
            <a:ext uri="{FF2B5EF4-FFF2-40B4-BE49-F238E27FC236}">
              <a16:creationId xmlns:a16="http://schemas.microsoft.com/office/drawing/2014/main" id="{00000000-0008-0000-0D00-00000C000000}"/>
            </a:ext>
          </a:extLst>
        </xdr:cNvPr>
        <xdr:cNvSpPr txBox="1"/>
      </xdr:nvSpPr>
      <xdr:spPr>
        <a:xfrm>
          <a:off x="4648200" y="2252662"/>
          <a:ext cx="125245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NOT POSSIBLE</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257175</xdr:colOff>
      <xdr:row>21</xdr:row>
      <xdr:rowOff>142875</xdr:rowOff>
    </xdr:from>
    <xdr:to>
      <xdr:col>2</xdr:col>
      <xdr:colOff>581025</xdr:colOff>
      <xdr:row>26</xdr:row>
      <xdr:rowOff>52388</xdr:rowOff>
    </xdr:to>
    <xdr:sp macro="" textlink="">
      <xdr:nvSpPr>
        <xdr:cNvPr id="3" name="Rectangle 2">
          <a:extLst>
            <a:ext uri="{FF2B5EF4-FFF2-40B4-BE49-F238E27FC236}">
              <a16:creationId xmlns:a16="http://schemas.microsoft.com/office/drawing/2014/main" id="{00000000-0008-0000-1200-000003000000}"/>
            </a:ext>
          </a:extLst>
        </xdr:cNvPr>
        <xdr:cNvSpPr/>
      </xdr:nvSpPr>
      <xdr:spPr>
        <a:xfrm>
          <a:off x="257175" y="3990975"/>
          <a:ext cx="1619250" cy="814388"/>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Randarray comes in handy for modeling and simulations</a:t>
          </a: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https://www.bing.com/financeapi/forcetrigger?t=ahkau2&amp;q=XNSE%3aTCS&amp;form=skydnc</v>
    <v>Learn more on Bing</v>
  </rv>
  <rv s="1">
    <v>en-GB</v>
    <v>ahkau2</v>
    <v>268435456</v>
    <v>1</v>
    <v>Powered by Refinitiv</v>
    <v>0</v>
    <v>TATA CONSULTANCY SERVICES LIMITED (XNSE:TCS)</v>
    <v>2</v>
    <v>3</v>
    <v>Finance</v>
    <v>4</v>
    <v>4424.37</v>
    <v>2866.6</v>
    <v>0.93589999999999995</v>
    <v>9</v>
    <v>2.787E-3</v>
    <v>INR</v>
    <v>Tata Consultancy Services Ltd is an India-based company engaged in providing information technology (IT) services, consulting, and business solutions. Its business segments include Banking, Financial Services and Insurance; Manufacturing; Consumer Business; Communication, Media and Technology; Life Sciences and Healthcare and others, such as Energy, Resources and Utilities, s-Governance, and Products. The Company's products include TCS ADD, TCS BaNCS, TCS BFSI Platforms, TCS CHROMA, TCS Customer Intelligence &amp; Insights, TCS ERP on Cloud, TCS Intelligent Urban Exchange, Quartz-The Smart Ledgers, Jile, TCS Optumera, TCS TwinX, TCS TAP and TCS OmniStore. Its services portfolio consists of Artificial Intelligence, Cloud, Cognitive Business Operations, Consulting, Cybersecurity, Data and Analytics, Enterprise Solutions, Internet of Things (IoT), and Digital Engineering, TCS Interactive, TCS and AWS Cloud, TCS Enterprise Cloud, TCS and Google Cloud, TCS and Microsoft Cloud and others.</v>
    <v>613069</v>
    <v>National Stock Exchange of India</v>
    <v>XNSE</v>
    <v>XNSE</v>
    <v>9th Floor Nirmal Building Nariman Point, MUMBAI, MAHARASHTRA, 400021 IN</v>
    <v>3271.6</v>
    <v>Software &amp; IT Services</v>
    <v>Stock</v>
    <v>45996.492893518516</v>
    <v>0</v>
    <v>3222.4</v>
    <v>11716090000000</v>
    <v>TATA CONSULTANCY SERVICES LIMITED</v>
    <v>TATA CONSULTANCY SERVICES LIMITED</v>
    <v>3230</v>
    <v>23.63</v>
    <v>3229.2</v>
    <v>3238.2</v>
    <v>3618087000</v>
    <v>TCS</v>
    <v>TATA CONSULTANCY SERVICES LIMITED (XNSE:TCS)</v>
    <v>5244013</v>
    <v>3488480</v>
    <v>1995</v>
  </rv>
  <rv s="2">
    <v>1</v>
  </rv>
  <rv s="0">
    <v>https://www.bing.com/financeapi/forcetrigger?t=ahkok2&amp;q=XNSE%3aWIPRO&amp;form=skydnc</v>
    <v>Learn more on Bing</v>
  </rv>
  <rv s="1">
    <v>en-GB</v>
    <v>ahkok2</v>
    <v>268435456</v>
    <v>1</v>
    <v>Powered by Refinitiv</v>
    <v>0</v>
    <v>WIPRO LIMITED (XNSE:WIPRO)</v>
    <v>2</v>
    <v>3</v>
    <v>Finance</v>
    <v>4</v>
    <v>324.60000000000002</v>
    <v>228</v>
    <v>0.82730000000000004</v>
    <v>2.98</v>
    <v>1.1597999999999999E-2</v>
    <v>INR</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235492</v>
    <v>National Stock Exchange of India</v>
    <v>XNSE</v>
    <v>XNSE</v>
    <v>Survey #76P &amp; #80P Doddakanahalli Villag, Varthur Hobli Sarjapur Rd, BANGALORE, KARNATAKA, 560035 IN</v>
    <v>261.10000000000002</v>
    <v>Software &amp; IT Services</v>
    <v>Stock</v>
    <v>45996.492905092593</v>
    <v>3</v>
    <v>257.7</v>
    <v>2722258000000</v>
    <v>WIPRO LIMITED</v>
    <v>WIPRO LIMITED</v>
    <v>258.2</v>
    <v>19.920000000000002</v>
    <v>256.93</v>
    <v>259.91000000000003</v>
    <v>10473850000</v>
    <v>WIPRO</v>
    <v>WIPRO LIMITED (XNSE:WIPRO)</v>
    <v>7886562</v>
    <v>9661060</v>
    <v>1945</v>
  </rv>
  <rv s="2">
    <v>4</v>
  </rv>
  <rv s="0">
    <v>https://www.bing.com/financeapi/forcetrigger?t=ah7uw7&amp;q=XBOM%3a500180&amp;form=skydnc</v>
    <v>Learn more on Bing</v>
  </rv>
  <rv s="1">
    <v>en-GB</v>
    <v>ah7uw7</v>
    <v>268435456</v>
    <v>1</v>
    <v>Powered by Refinitiv</v>
    <v>0</v>
    <v>HDFC BANK LIMITED (XBOM:500180)</v>
    <v>2</v>
    <v>3</v>
    <v>Finance</v>
    <v>5</v>
    <v>1020.35</v>
    <v>810.11</v>
    <v>0.94889999999999997</v>
    <v>5.85</v>
    <v>5.8659999999999997E-3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220339</v>
    <v>Bombay Stock Exchange</v>
    <v>XBOM</v>
    <v>XBOM</v>
    <v>'Hdfc Bank House', Senapati Bapat Road, Lower Parel (West), Mumbai India, MUMBAI, MAHARASHTRA, 400013 IN</v>
    <v>1007.9</v>
    <v>Banking Services</v>
    <v>Stock</v>
    <v>45996.667384259257</v>
    <v>6</v>
    <v>990.95</v>
    <v>15433230000000</v>
    <v>HDFC BANK LIMITED</v>
    <v>HDFC BANK LIMITED</v>
    <v>990.95</v>
    <v>21.1</v>
    <v>997.25</v>
    <v>1003.1</v>
    <v>15382470000</v>
    <v>500180</v>
    <v>HDFC BANK LIMITED (XBOM:500180)</v>
    <v>406479</v>
    <v>20509700</v>
    <v>1994</v>
  </rv>
  <rv s="2">
    <v>7</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6">
    <spb s="0">
      <v>0</v>
      <v>Name</v>
      <v>LearnMoreOnLink</v>
    </spb>
    <spb s="1">
      <v>0</v>
      <v>0</v>
      <v>0</v>
    </spb>
    <spb s="2">
      <v>1</v>
      <v>1</v>
      <v>1</v>
      <v>1</v>
    </spb>
    <spb s="3">
      <v>1</v>
      <v>2</v>
      <v>2</v>
      <v>1</v>
      <v>3</v>
      <v>1</v>
      <v>1</v>
      <v>1</v>
      <v>4</v>
      <v>4</v>
      <v>5</v>
      <v>6</v>
      <v>1</v>
      <v>1</v>
      <v>1</v>
      <v>4</v>
      <v>7</v>
      <v>8</v>
      <v>9</v>
      <v>4</v>
    </spb>
    <spb s="4">
      <v>Delayed 5 minutes</v>
      <v>from previous close</v>
      <v>from previous close</v>
      <v>GMT</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[$₹-as-IN] * #,##0.00_ ;_ [$₹-as-IN] * -#,##0.00_ ;_ [$₹-as-IN] * "-"??_ ;_ @_ </rpv>
    </rSty>
    <rSty dxfid="5">
      <rpv i="0">#,##0.00</rpv>
    </rSty>
    <rSty>
      <rpv i="1">1</rpv>
    </rSty>
    <rSty dxfid="4">
      <rpv i="0">#,##0</rpv>
    </rSty>
    <rSty dxfid="3"/>
    <rSty dxfid="1">
      <rpv i="0" xml:space="preserve">_ [$₹-as-IN] * #,##0_ ;_ [$₹-as-IN] * -#,##0_ ;_ [$₹-as-IN] * "-"_ ;_ @_ </rpv>
    </rSty>
    <rSty dxfid="2"/>
    <rSty dxfid="6">
      <rpv i="0">0</rpv>
    </rSty>
    <rSty dxfid="0">
      <rpv i="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08536-B2D2-48C9-9B51-88A518EED496}" name="TableDiv" displayName="TableDiv" ref="A27:C42" totalsRowShown="0" headerRowDxfId="5">
  <tableColumns count="3">
    <tableColumn id="1" xr3:uid="{BC2BB3F4-8314-4B80-ADC8-42D6D856BE3B}" name="Department"/>
    <tableColumn id="2" xr3:uid="{D8F79BEA-57BE-4126-AF3A-D1444159C184}" name="Indian State"/>
    <tableColumn id="3" xr3:uid="{991F0E50-D32F-4531-AF13-539BE2695CF2}" name="Revenue" dataDxfId="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091529-3799-4EF9-88A0-193D6A53F645}" name="TableDiv6" displayName="TableDiv6" ref="A29:C44" totalsRowShown="0" headerRowDxfId="3">
  <tableColumns count="3">
    <tableColumn id="1" xr3:uid="{99D61237-DC7B-44F4-9B8C-C0E39DE11709}" name="Department"/>
    <tableColumn id="2" xr3:uid="{7C5CB11E-0FCB-46D9-9F7A-463D49EB54FE}" name="Indian State"/>
    <tableColumn id="3" xr3:uid="{64F90AFC-14EC-468F-99F8-16A6E442364C}" name="Revenue" dataDxfId="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DB646F-6EFA-49F1-856F-C1CB51BEECFA}" name="TableDiv4" displayName="TableDiv4" ref="A27:B47" totalsRowShown="0" headerRowDxfId="1">
  <autoFilter ref="A27:B47" xr:uid="{19919A82-9F17-4B3F-9ECC-0C92E6675930}"/>
  <tableColumns count="2">
    <tableColumn id="1" xr3:uid="{48235A09-8D97-43D3-A494-AFDE1EAF35F4}" name="Department"/>
    <tableColumn id="2" xr3:uid="{CD943698-7E79-420F-99E0-C7163CFD9BE9}" name="Indian Sta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tint="-0.249977111117893"/>
  </sheetPr>
  <dimension ref="A1:Q43"/>
  <sheetViews>
    <sheetView topLeftCell="A25" zoomScale="120" zoomScaleNormal="120" workbookViewId="0">
      <selection activeCell="G7" sqref="G7"/>
    </sheetView>
  </sheetViews>
  <sheetFormatPr defaultRowHeight="14.45"/>
  <cols>
    <col min="1" max="1" width="14" customWidth="1"/>
    <col min="2" max="2" width="14" bestFit="1" customWidth="1"/>
    <col min="3" max="3" width="11" customWidth="1"/>
    <col min="7" max="7" width="12" bestFit="1" customWidth="1"/>
    <col min="8" max="8" width="14" bestFit="1" customWidth="1"/>
    <col min="12" max="12" width="11.7109375" bestFit="1" customWidth="1"/>
    <col min="14" max="14" width="9.28515625" customWidth="1"/>
    <col min="17" max="17" width="11.7109375" bestFit="1" customWidth="1"/>
  </cols>
  <sheetData>
    <row r="1" spans="1:17" ht="24.75" customHeight="1">
      <c r="A1" s="1" t="s">
        <v>0</v>
      </c>
      <c r="B1" s="1"/>
      <c r="C1" s="1"/>
      <c r="D1" s="1"/>
      <c r="E1" s="1"/>
      <c r="F1" s="1"/>
      <c r="G1" s="25"/>
    </row>
    <row r="3" spans="1:17">
      <c r="A3" s="5" t="s">
        <v>1</v>
      </c>
      <c r="B3" s="5"/>
      <c r="C3" s="5"/>
      <c r="G3" s="5" t="s">
        <v>2</v>
      </c>
    </row>
    <row r="5" spans="1:17" ht="15" thickBot="1">
      <c r="A5" s="19" t="s">
        <v>3</v>
      </c>
      <c r="B5" s="19" t="s">
        <v>4</v>
      </c>
      <c r="C5" s="19" t="s">
        <v>5</v>
      </c>
    </row>
    <row r="6" spans="1:17">
      <c r="A6" t="s">
        <v>6</v>
      </c>
      <c r="B6" t="s">
        <v>7</v>
      </c>
      <c r="C6" s="4">
        <v>44196</v>
      </c>
      <c r="G6" s="75"/>
      <c r="H6" s="29"/>
      <c r="I6" s="29"/>
      <c r="J6" s="29"/>
      <c r="K6" s="29"/>
      <c r="M6" s="29"/>
      <c r="N6" s="29"/>
      <c r="O6" s="29"/>
      <c r="P6" s="29"/>
      <c r="Q6" s="29"/>
    </row>
    <row r="7" spans="1:17">
      <c r="A7" t="s">
        <v>6</v>
      </c>
      <c r="B7" t="s">
        <v>8</v>
      </c>
      <c r="C7" s="4">
        <v>20898</v>
      </c>
      <c r="H7" s="29"/>
      <c r="I7" s="29"/>
      <c r="J7" s="29"/>
      <c r="K7" s="29" t="s">
        <v>9</v>
      </c>
      <c r="M7" s="29"/>
      <c r="N7" s="29"/>
      <c r="O7" s="29"/>
      <c r="P7" s="29"/>
      <c r="Q7" s="29"/>
    </row>
    <row r="8" spans="1:17">
      <c r="A8" t="s">
        <v>6</v>
      </c>
      <c r="B8" t="s">
        <v>10</v>
      </c>
      <c r="C8" s="4">
        <v>46994</v>
      </c>
      <c r="G8" s="29"/>
      <c r="H8" s="29"/>
      <c r="I8" s="29"/>
      <c r="J8" s="29"/>
      <c r="K8" s="29" t="s">
        <v>11</v>
      </c>
      <c r="M8" s="29"/>
      <c r="N8" s="29"/>
      <c r="O8" s="29"/>
      <c r="P8" s="29"/>
      <c r="Q8" s="29"/>
    </row>
    <row r="9" spans="1:17">
      <c r="A9" t="s">
        <v>6</v>
      </c>
      <c r="B9" t="s">
        <v>12</v>
      </c>
      <c r="C9" s="4">
        <v>43695</v>
      </c>
      <c r="G9" s="29"/>
      <c r="H9" s="29"/>
      <c r="I9" s="29"/>
      <c r="J9" s="29"/>
      <c r="K9" s="29" t="s">
        <v>13</v>
      </c>
      <c r="M9" s="29"/>
      <c r="N9" s="29"/>
      <c r="O9" s="29"/>
      <c r="P9" s="29"/>
      <c r="Q9" s="29"/>
    </row>
    <row r="10" spans="1:17">
      <c r="A10" t="s">
        <v>6</v>
      </c>
      <c r="B10" t="s">
        <v>14</v>
      </c>
      <c r="C10" s="4">
        <v>34196</v>
      </c>
      <c r="G10" s="29"/>
      <c r="H10" s="29"/>
      <c r="I10" s="29"/>
      <c r="J10" s="29"/>
      <c r="K10" s="29" t="s">
        <v>15</v>
      </c>
      <c r="M10" s="29"/>
      <c r="N10" s="29"/>
      <c r="O10" s="29"/>
      <c r="P10" s="29"/>
      <c r="Q10" s="29"/>
    </row>
    <row r="11" spans="1:17">
      <c r="A11" t="s">
        <v>16</v>
      </c>
      <c r="B11" t="s">
        <v>7</v>
      </c>
      <c r="C11" s="4">
        <v>34155</v>
      </c>
      <c r="G11" s="29"/>
      <c r="H11" s="29"/>
      <c r="I11" s="29"/>
      <c r="J11" s="29"/>
      <c r="K11" s="29"/>
      <c r="L11" s="29"/>
      <c r="M11" s="29"/>
      <c r="N11" s="29"/>
      <c r="O11" s="29"/>
      <c r="P11" s="29"/>
      <c r="Q11" s="29"/>
    </row>
    <row r="12" spans="1:17">
      <c r="A12" t="s">
        <v>16</v>
      </c>
      <c r="B12" t="s">
        <v>8</v>
      </c>
      <c r="C12" s="4">
        <v>24396</v>
      </c>
      <c r="G12" s="29"/>
      <c r="H12" s="29"/>
      <c r="I12" s="29"/>
      <c r="J12" s="29"/>
      <c r="K12" s="29"/>
      <c r="L12" s="29"/>
      <c r="M12" s="29"/>
      <c r="N12" s="29"/>
      <c r="O12" s="29"/>
      <c r="P12" s="29"/>
      <c r="Q12" s="29"/>
    </row>
    <row r="13" spans="1:17">
      <c r="A13" t="s">
        <v>16</v>
      </c>
      <c r="B13" t="s">
        <v>10</v>
      </c>
      <c r="C13" s="4">
        <v>29276</v>
      </c>
      <c r="G13" s="29"/>
      <c r="H13" s="29"/>
      <c r="I13" s="29"/>
      <c r="J13" s="29"/>
      <c r="K13" s="29"/>
      <c r="L13" s="29"/>
      <c r="M13" s="29"/>
      <c r="N13" s="29"/>
      <c r="O13" s="29"/>
      <c r="P13" s="29"/>
      <c r="Q13" s="29"/>
    </row>
    <row r="14" spans="1:17">
      <c r="A14" t="s">
        <v>16</v>
      </c>
      <c r="B14" t="s">
        <v>12</v>
      </c>
      <c r="C14" s="4">
        <v>45540</v>
      </c>
      <c r="G14" s="29"/>
      <c r="H14" s="29"/>
      <c r="I14" s="29"/>
      <c r="J14" s="29"/>
      <c r="K14" s="29"/>
      <c r="L14" s="29"/>
      <c r="M14" s="29"/>
      <c r="N14" s="29"/>
      <c r="O14" s="29"/>
      <c r="P14" s="29"/>
      <c r="Q14" s="29"/>
    </row>
    <row r="15" spans="1:17">
      <c r="A15" t="s">
        <v>16</v>
      </c>
      <c r="B15" t="s">
        <v>14</v>
      </c>
      <c r="C15" s="4">
        <v>29277</v>
      </c>
      <c r="G15" s="29"/>
      <c r="H15" s="29"/>
      <c r="I15" s="29"/>
      <c r="J15" s="29"/>
      <c r="K15" s="29"/>
      <c r="L15" s="29"/>
      <c r="M15" s="29"/>
      <c r="N15" s="29"/>
      <c r="O15" s="29"/>
      <c r="P15" s="29"/>
      <c r="Q15" s="29"/>
    </row>
    <row r="16" spans="1:17">
      <c r="A16" t="s">
        <v>17</v>
      </c>
      <c r="B16" t="s">
        <v>7</v>
      </c>
      <c r="C16" s="4">
        <v>44675</v>
      </c>
      <c r="G16" s="29"/>
      <c r="H16" s="29"/>
      <c r="I16" s="29"/>
      <c r="J16" s="29"/>
      <c r="K16" s="29"/>
      <c r="L16" s="29"/>
      <c r="M16" s="29"/>
      <c r="N16" s="29"/>
      <c r="O16" s="29"/>
      <c r="P16" s="29"/>
      <c r="Q16" s="29"/>
    </row>
    <row r="17" spans="1:17">
      <c r="A17" t="s">
        <v>17</v>
      </c>
      <c r="B17" t="s">
        <v>8</v>
      </c>
      <c r="C17" s="4">
        <v>42569</v>
      </c>
      <c r="G17" s="29"/>
      <c r="H17" s="29"/>
      <c r="I17" s="29"/>
      <c r="J17" s="29"/>
      <c r="K17" s="29"/>
      <c r="L17" s="29"/>
      <c r="M17" s="29"/>
      <c r="N17" s="29"/>
      <c r="O17" s="29"/>
      <c r="P17" s="29"/>
      <c r="Q17" s="29"/>
    </row>
    <row r="18" spans="1:17">
      <c r="A18" t="s">
        <v>17</v>
      </c>
      <c r="B18" t="s">
        <v>10</v>
      </c>
      <c r="C18" s="4">
        <v>43784</v>
      </c>
      <c r="G18" s="29"/>
      <c r="H18" s="29"/>
      <c r="I18" s="29"/>
      <c r="J18" s="29"/>
      <c r="K18" s="29"/>
      <c r="L18" s="29"/>
      <c r="M18" s="29"/>
      <c r="N18" s="29"/>
      <c r="O18" s="29"/>
      <c r="P18" s="29"/>
      <c r="Q18" s="29"/>
    </row>
    <row r="19" spans="1:17">
      <c r="A19" t="s">
        <v>17</v>
      </c>
      <c r="B19" t="s">
        <v>12</v>
      </c>
      <c r="C19" s="4">
        <v>46336</v>
      </c>
      <c r="G19" s="29"/>
      <c r="H19" s="29"/>
      <c r="I19" s="29"/>
      <c r="J19" s="29"/>
      <c r="K19" s="29"/>
      <c r="L19" s="29"/>
      <c r="M19" s="29"/>
      <c r="N19" s="29"/>
      <c r="O19" s="29"/>
      <c r="P19" s="29"/>
      <c r="Q19" s="29"/>
    </row>
    <row r="20" spans="1:17">
      <c r="A20" t="s">
        <v>17</v>
      </c>
      <c r="B20" t="s">
        <v>14</v>
      </c>
      <c r="C20" s="4">
        <v>49656</v>
      </c>
      <c r="G20" s="29"/>
      <c r="H20" s="29"/>
      <c r="I20" s="29"/>
      <c r="J20" s="29"/>
      <c r="K20" s="29"/>
      <c r="L20" s="29"/>
      <c r="M20" s="29"/>
      <c r="N20" s="29"/>
      <c r="O20" s="29"/>
      <c r="P20" s="29"/>
      <c r="Q20" s="29"/>
    </row>
    <row r="21" spans="1:17">
      <c r="G21" s="29"/>
      <c r="H21" s="29"/>
      <c r="I21" s="29"/>
      <c r="J21" s="29"/>
      <c r="K21" s="29"/>
      <c r="L21" s="29"/>
      <c r="M21" s="29"/>
      <c r="N21" s="29"/>
      <c r="O21" s="29"/>
      <c r="P21" s="29"/>
      <c r="Q21" s="29"/>
    </row>
    <row r="22" spans="1:17">
      <c r="G22" s="29"/>
      <c r="H22" s="29"/>
      <c r="I22" s="29"/>
      <c r="J22" s="29"/>
      <c r="K22" s="29"/>
      <c r="L22" s="29"/>
      <c r="M22" s="29"/>
      <c r="N22" s="29"/>
      <c r="O22" s="29"/>
      <c r="P22" s="29"/>
      <c r="Q22" s="29"/>
    </row>
    <row r="23" spans="1:17">
      <c r="L23" s="27"/>
      <c r="M23" s="27"/>
      <c r="N23" s="27"/>
    </row>
    <row r="24" spans="1:17" ht="31.5" customHeight="1"/>
    <row r="25" spans="1:17">
      <c r="A25" s="5" t="s">
        <v>18</v>
      </c>
      <c r="B25" s="5"/>
      <c r="C25" s="5"/>
      <c r="G25" s="5" t="s">
        <v>19</v>
      </c>
      <c r="L25" s="5" t="s">
        <v>20</v>
      </c>
    </row>
    <row r="27" spans="1:17">
      <c r="A27" s="3" t="s">
        <v>3</v>
      </c>
      <c r="B27" s="3" t="s">
        <v>4</v>
      </c>
      <c r="C27" s="3" t="s">
        <v>5</v>
      </c>
    </row>
    <row r="28" spans="1:17">
      <c r="A28" t="s">
        <v>6</v>
      </c>
      <c r="B28" t="s">
        <v>7</v>
      </c>
      <c r="C28" s="4">
        <v>44196</v>
      </c>
      <c r="G28" s="24"/>
      <c r="H28" s="29"/>
      <c r="I28" s="29"/>
      <c r="J28" s="29"/>
      <c r="K28" s="29"/>
      <c r="L28" s="24"/>
      <c r="M28" s="29"/>
      <c r="N28" s="29"/>
      <c r="O28" s="29"/>
      <c r="P28" s="29"/>
      <c r="Q28" s="29"/>
    </row>
    <row r="29" spans="1:17">
      <c r="A29" t="s">
        <v>6</v>
      </c>
      <c r="B29" t="s">
        <v>8</v>
      </c>
      <c r="C29" s="4">
        <v>20898</v>
      </c>
      <c r="G29" s="29"/>
      <c r="H29" s="29"/>
      <c r="I29" s="29"/>
      <c r="J29" s="29"/>
      <c r="K29" s="29"/>
      <c r="L29" s="29"/>
      <c r="M29" s="29"/>
      <c r="N29" s="29"/>
      <c r="O29" s="29"/>
      <c r="P29" s="29"/>
      <c r="Q29" s="29"/>
    </row>
    <row r="30" spans="1:17">
      <c r="A30" t="s">
        <v>6</v>
      </c>
      <c r="B30" t="s">
        <v>10</v>
      </c>
      <c r="C30" s="4">
        <v>46994</v>
      </c>
      <c r="G30" s="29"/>
      <c r="H30" s="29"/>
      <c r="I30" s="29"/>
      <c r="J30" s="29"/>
      <c r="K30" s="29"/>
      <c r="L30" s="29"/>
      <c r="M30" s="29"/>
      <c r="N30" s="29"/>
      <c r="O30" s="29"/>
      <c r="P30" s="29"/>
      <c r="Q30" s="29"/>
    </row>
    <row r="31" spans="1:17">
      <c r="A31" t="s">
        <v>6</v>
      </c>
      <c r="B31" t="s">
        <v>12</v>
      </c>
      <c r="C31" s="4">
        <v>43695</v>
      </c>
      <c r="G31" s="29"/>
      <c r="H31" s="29"/>
      <c r="I31" s="29"/>
      <c r="J31" s="29"/>
      <c r="K31" s="29"/>
      <c r="L31" s="29"/>
      <c r="M31" s="29"/>
      <c r="N31" s="29"/>
      <c r="O31" s="29"/>
      <c r="P31" s="29"/>
      <c r="Q31" s="29"/>
    </row>
    <row r="32" spans="1:17">
      <c r="A32" t="s">
        <v>6</v>
      </c>
      <c r="B32" t="s">
        <v>14</v>
      </c>
      <c r="C32" s="4">
        <v>34196</v>
      </c>
      <c r="G32" s="29"/>
      <c r="H32" s="29"/>
      <c r="I32" s="29"/>
      <c r="J32" s="29"/>
      <c r="K32" s="29"/>
      <c r="L32" s="29"/>
      <c r="M32" s="29"/>
      <c r="N32" s="29"/>
      <c r="O32" s="29"/>
      <c r="P32" s="29"/>
      <c r="Q32" s="29"/>
    </row>
    <row r="33" spans="1:17">
      <c r="A33" t="s">
        <v>16</v>
      </c>
      <c r="B33" t="s">
        <v>7</v>
      </c>
      <c r="C33" s="4">
        <v>34155</v>
      </c>
      <c r="G33" s="29"/>
      <c r="H33" s="29"/>
      <c r="I33" s="29"/>
      <c r="J33" s="29"/>
      <c r="K33" s="29"/>
      <c r="L33" s="29"/>
      <c r="M33" s="29"/>
      <c r="N33" s="29"/>
      <c r="O33" s="29"/>
      <c r="P33" s="29"/>
      <c r="Q33" s="29"/>
    </row>
    <row r="34" spans="1:17">
      <c r="A34" t="s">
        <v>16</v>
      </c>
      <c r="B34" t="s">
        <v>8</v>
      </c>
      <c r="C34" s="4">
        <v>24396</v>
      </c>
      <c r="G34" s="29"/>
      <c r="H34" s="29"/>
      <c r="I34" s="29"/>
      <c r="J34" s="29"/>
      <c r="K34" s="29"/>
      <c r="L34" s="29"/>
      <c r="M34" s="29"/>
      <c r="N34" s="29"/>
      <c r="O34" s="29"/>
      <c r="P34" s="29"/>
      <c r="Q34" s="29"/>
    </row>
    <row r="35" spans="1:17">
      <c r="A35" t="s">
        <v>16</v>
      </c>
      <c r="B35" t="s">
        <v>10</v>
      </c>
      <c r="C35" s="4">
        <v>29276</v>
      </c>
      <c r="G35" s="29"/>
      <c r="H35" s="29"/>
      <c r="I35" s="29"/>
      <c r="J35" s="29"/>
      <c r="K35" s="29"/>
      <c r="L35" s="29"/>
      <c r="M35" s="29"/>
      <c r="N35" s="29"/>
      <c r="O35" s="29"/>
      <c r="P35" s="29"/>
      <c r="Q35" s="29"/>
    </row>
    <row r="36" spans="1:17">
      <c r="A36" t="s">
        <v>16</v>
      </c>
      <c r="B36" t="s">
        <v>12</v>
      </c>
      <c r="C36" s="4">
        <v>45540</v>
      </c>
      <c r="G36" s="29"/>
      <c r="H36" s="29"/>
      <c r="I36" s="29"/>
      <c r="J36" s="29"/>
      <c r="K36" s="29"/>
      <c r="L36" s="29"/>
      <c r="M36" s="29"/>
      <c r="N36" s="29"/>
      <c r="O36" s="29"/>
      <c r="P36" s="29"/>
      <c r="Q36" s="29"/>
    </row>
    <row r="37" spans="1:17">
      <c r="A37" t="s">
        <v>16</v>
      </c>
      <c r="B37" t="s">
        <v>14</v>
      </c>
      <c r="C37" s="4">
        <v>29277</v>
      </c>
      <c r="G37" s="29"/>
      <c r="H37" s="29"/>
      <c r="I37" s="29"/>
      <c r="J37" s="29"/>
      <c r="K37" s="29"/>
      <c r="L37" s="29"/>
      <c r="M37" s="29"/>
      <c r="N37" s="29"/>
      <c r="O37" s="29"/>
      <c r="P37" s="29"/>
      <c r="Q37" s="29"/>
    </row>
    <row r="38" spans="1:17">
      <c r="A38" t="s">
        <v>17</v>
      </c>
      <c r="B38" t="s">
        <v>7</v>
      </c>
      <c r="C38" s="4">
        <v>44675</v>
      </c>
      <c r="G38" s="29"/>
      <c r="H38" s="29"/>
      <c r="I38" s="29"/>
      <c r="J38" s="29"/>
      <c r="K38" s="29"/>
      <c r="L38" s="29"/>
      <c r="M38" s="29"/>
      <c r="N38" s="29"/>
      <c r="O38" s="29"/>
      <c r="P38" s="29"/>
      <c r="Q38" s="29"/>
    </row>
    <row r="39" spans="1:17">
      <c r="A39" t="s">
        <v>17</v>
      </c>
      <c r="B39" t="s">
        <v>8</v>
      </c>
      <c r="C39" s="4">
        <v>42569</v>
      </c>
      <c r="G39" s="29"/>
      <c r="H39" s="29"/>
      <c r="I39" s="29"/>
      <c r="J39" s="29"/>
      <c r="K39" s="29"/>
      <c r="L39" s="29"/>
      <c r="M39" s="29"/>
      <c r="N39" s="29"/>
      <c r="O39" s="29"/>
      <c r="P39" s="29"/>
      <c r="Q39" s="29"/>
    </row>
    <row r="40" spans="1:17">
      <c r="A40" t="s">
        <v>17</v>
      </c>
      <c r="B40" t="s">
        <v>10</v>
      </c>
      <c r="C40" s="4">
        <v>43784</v>
      </c>
      <c r="G40" s="29"/>
      <c r="H40" s="29"/>
      <c r="I40" s="29"/>
      <c r="J40" s="29"/>
      <c r="K40" s="29"/>
      <c r="L40" s="29"/>
      <c r="M40" s="29"/>
      <c r="N40" s="29"/>
      <c r="O40" s="29"/>
      <c r="P40" s="29"/>
      <c r="Q40" s="29"/>
    </row>
    <row r="41" spans="1:17">
      <c r="A41" t="s">
        <v>17</v>
      </c>
      <c r="B41" t="s">
        <v>12</v>
      </c>
      <c r="C41" s="4">
        <v>46336</v>
      </c>
      <c r="G41" s="29"/>
      <c r="H41" s="29"/>
      <c r="I41" s="29"/>
      <c r="J41" s="29"/>
      <c r="K41" s="29"/>
      <c r="L41" s="29"/>
      <c r="M41" s="29"/>
      <c r="N41" s="29"/>
      <c r="O41" s="29"/>
      <c r="P41" s="29"/>
      <c r="Q41" s="29"/>
    </row>
    <row r="42" spans="1:17">
      <c r="A42" t="s">
        <v>17</v>
      </c>
      <c r="B42" t="s">
        <v>14</v>
      </c>
      <c r="C42" s="4">
        <v>49656</v>
      </c>
      <c r="G42" s="29"/>
      <c r="H42" s="29"/>
      <c r="I42" s="29"/>
      <c r="J42" s="29"/>
      <c r="K42" s="29"/>
      <c r="L42" s="29"/>
      <c r="M42" s="29"/>
      <c r="N42" s="29"/>
      <c r="O42" s="29"/>
      <c r="P42" s="29"/>
      <c r="Q42" s="29"/>
    </row>
    <row r="43" spans="1:17">
      <c r="G43" s="29"/>
      <c r="H43" s="29"/>
      <c r="I43" s="29"/>
      <c r="J43" s="29"/>
      <c r="K43" s="29"/>
      <c r="L43" s="29"/>
      <c r="M43" s="29"/>
      <c r="N43" s="29"/>
      <c r="O43" s="29"/>
      <c r="P43" s="29"/>
      <c r="Q43" s="29"/>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3514-277F-46C2-A7C6-4A66FA592CCA}">
  <sheetPr>
    <tabColor theme="0" tint="-0.34998626667073579"/>
  </sheetPr>
  <dimension ref="A1:I15"/>
  <sheetViews>
    <sheetView zoomScale="115" zoomScaleNormal="115" workbookViewId="0">
      <selection activeCell="C28" sqref="C28"/>
    </sheetView>
  </sheetViews>
  <sheetFormatPr defaultRowHeight="14.45"/>
  <cols>
    <col min="1" max="1" width="18.5703125" customWidth="1"/>
    <col min="2" max="2" width="17.42578125" customWidth="1"/>
    <col min="9" max="9" width="13.28515625" customWidth="1"/>
  </cols>
  <sheetData>
    <row r="1" spans="1:9" s="68" customFormat="1" ht="21">
      <c r="A1" s="67" t="s">
        <v>21</v>
      </c>
    </row>
    <row r="2" spans="1:9">
      <c r="A2" s="5"/>
    </row>
    <row r="3" spans="1:9">
      <c r="A3" s="69" t="s">
        <v>22</v>
      </c>
    </row>
    <row r="5" spans="1:9" ht="15" thickBot="1">
      <c r="A5" s="65" t="s">
        <v>23</v>
      </c>
      <c r="B5" s="65" t="s">
        <v>24</v>
      </c>
      <c r="C5" s="65" t="s">
        <v>25</v>
      </c>
      <c r="H5" s="65" t="s">
        <v>25</v>
      </c>
      <c r="I5" s="65" t="s">
        <v>26</v>
      </c>
    </row>
    <row r="6" spans="1:9" ht="15" thickTop="1">
      <c r="A6" t="s">
        <v>27</v>
      </c>
      <c r="B6" s="66"/>
      <c r="C6" s="66"/>
      <c r="H6">
        <v>0</v>
      </c>
      <c r="I6" s="71">
        <v>0.05</v>
      </c>
    </row>
    <row r="7" spans="1:9">
      <c r="A7" t="s">
        <v>28</v>
      </c>
      <c r="B7" s="66"/>
      <c r="C7" s="66"/>
      <c r="H7">
        <v>100</v>
      </c>
      <c r="I7" s="71">
        <v>0.1</v>
      </c>
    </row>
    <row r="8" spans="1:9">
      <c r="A8" t="s">
        <v>29</v>
      </c>
      <c r="B8" s="66"/>
      <c r="C8" s="66"/>
      <c r="H8">
        <v>200</v>
      </c>
      <c r="I8" s="71">
        <v>0.2</v>
      </c>
    </row>
    <row r="9" spans="1:9" ht="15" thickBot="1">
      <c r="A9" t="s">
        <v>30</v>
      </c>
      <c r="B9" s="66"/>
      <c r="C9" s="66"/>
    </row>
    <row r="10" spans="1:9" ht="15" thickBot="1">
      <c r="A10" t="s">
        <v>31</v>
      </c>
      <c r="B10" s="66"/>
      <c r="C10" s="66"/>
      <c r="H10" s="72" t="s">
        <v>25</v>
      </c>
      <c r="I10" s="72" t="s">
        <v>26</v>
      </c>
    </row>
    <row r="11" spans="1:9" ht="15" thickBot="1">
      <c r="A11" t="s">
        <v>32</v>
      </c>
      <c r="B11" s="66"/>
      <c r="C11" s="66"/>
      <c r="H11" s="73">
        <v>150</v>
      </c>
      <c r="I11" s="74"/>
    </row>
    <row r="12" spans="1:9">
      <c r="A12" t="s">
        <v>33</v>
      </c>
      <c r="B12" s="66"/>
      <c r="C12" s="66"/>
    </row>
    <row r="13" spans="1:9">
      <c r="A13" t="s">
        <v>34</v>
      </c>
      <c r="B13" s="66"/>
      <c r="C13" s="66"/>
    </row>
    <row r="14" spans="1:9">
      <c r="A14" t="s">
        <v>35</v>
      </c>
      <c r="B14" s="66"/>
      <c r="C14" s="66"/>
    </row>
    <row r="15" spans="1:9">
      <c r="A15" t="s">
        <v>36</v>
      </c>
      <c r="B15" s="66"/>
      <c r="C15" s="6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AC20-40F5-4724-B4DC-E6395907D0E2}">
  <sheetPr>
    <tabColor theme="0" tint="-0.34998626667073579"/>
  </sheetPr>
  <dimension ref="A2:D33"/>
  <sheetViews>
    <sheetView zoomScale="115" zoomScaleNormal="115" workbookViewId="0">
      <selection activeCell="D29" sqref="D29"/>
    </sheetView>
  </sheetViews>
  <sheetFormatPr defaultRowHeight="14.45"/>
  <cols>
    <col min="1" max="1" width="13.28515625" customWidth="1"/>
    <col min="2" max="2" width="14.28515625" customWidth="1"/>
    <col min="3" max="3" width="15.42578125" customWidth="1"/>
  </cols>
  <sheetData>
    <row r="2" spans="1:4" ht="15" thickBot="1">
      <c r="A2" s="65" t="s">
        <v>37</v>
      </c>
      <c r="B2" s="65" t="s">
        <v>3</v>
      </c>
      <c r="C2" s="65" t="s">
        <v>23</v>
      </c>
      <c r="D2" s="65" t="s">
        <v>25</v>
      </c>
    </row>
    <row r="3" spans="1:4" ht="15" thickTop="1">
      <c r="A3" t="s">
        <v>38</v>
      </c>
      <c r="B3" t="s">
        <v>25</v>
      </c>
      <c r="C3" t="s">
        <v>28</v>
      </c>
      <c r="D3">
        <v>369</v>
      </c>
    </row>
    <row r="4" spans="1:4">
      <c r="A4" t="s">
        <v>39</v>
      </c>
      <c r="B4" t="s">
        <v>25</v>
      </c>
      <c r="C4" t="s">
        <v>30</v>
      </c>
      <c r="D4">
        <v>245</v>
      </c>
    </row>
    <row r="5" spans="1:4">
      <c r="A5" t="s">
        <v>40</v>
      </c>
      <c r="B5" t="s">
        <v>25</v>
      </c>
      <c r="C5" t="s">
        <v>32</v>
      </c>
      <c r="D5">
        <v>217</v>
      </c>
    </row>
    <row r="6" spans="1:4">
      <c r="A6" t="s">
        <v>41</v>
      </c>
      <c r="B6" t="s">
        <v>25</v>
      </c>
      <c r="C6" t="s">
        <v>33</v>
      </c>
      <c r="D6">
        <v>134</v>
      </c>
    </row>
    <row r="7" spans="1:4">
      <c r="A7" t="s">
        <v>42</v>
      </c>
      <c r="B7" t="s">
        <v>25</v>
      </c>
      <c r="C7" t="s">
        <v>35</v>
      </c>
      <c r="D7">
        <v>365</v>
      </c>
    </row>
    <row r="8" spans="1:4">
      <c r="A8" t="s">
        <v>43</v>
      </c>
      <c r="B8" t="s">
        <v>25</v>
      </c>
      <c r="C8" t="s">
        <v>36</v>
      </c>
      <c r="D8">
        <v>451</v>
      </c>
    </row>
    <row r="9" spans="1:4">
      <c r="A9" t="s">
        <v>44</v>
      </c>
      <c r="B9" t="s">
        <v>25</v>
      </c>
      <c r="C9" t="s">
        <v>45</v>
      </c>
      <c r="D9">
        <v>299</v>
      </c>
    </row>
    <row r="10" spans="1:4">
      <c r="A10" t="s">
        <v>46</v>
      </c>
      <c r="B10" t="s">
        <v>25</v>
      </c>
      <c r="C10" t="s">
        <v>47</v>
      </c>
      <c r="D10">
        <v>412</v>
      </c>
    </row>
    <row r="11" spans="1:4">
      <c r="A11" t="s">
        <v>48</v>
      </c>
      <c r="B11" t="s">
        <v>25</v>
      </c>
      <c r="C11" t="s">
        <v>49</v>
      </c>
      <c r="D11">
        <v>398</v>
      </c>
    </row>
    <row r="12" spans="1:4">
      <c r="A12" t="s">
        <v>50</v>
      </c>
      <c r="B12" t="s">
        <v>25</v>
      </c>
      <c r="C12" t="s">
        <v>51</v>
      </c>
      <c r="D12">
        <v>133</v>
      </c>
    </row>
    <row r="13" spans="1:4">
      <c r="A13" t="s">
        <v>52</v>
      </c>
      <c r="B13" t="s">
        <v>25</v>
      </c>
      <c r="C13" t="s">
        <v>53</v>
      </c>
      <c r="D13">
        <v>299</v>
      </c>
    </row>
    <row r="14" spans="1:4">
      <c r="A14" t="s">
        <v>54</v>
      </c>
      <c r="B14" t="s">
        <v>25</v>
      </c>
      <c r="C14" t="s">
        <v>55</v>
      </c>
      <c r="D14">
        <v>201</v>
      </c>
    </row>
    <row r="15" spans="1:4">
      <c r="A15" t="s">
        <v>56</v>
      </c>
      <c r="B15" t="s">
        <v>25</v>
      </c>
      <c r="C15" t="s">
        <v>57</v>
      </c>
      <c r="D15">
        <v>236</v>
      </c>
    </row>
    <row r="16" spans="1:4">
      <c r="A16" t="s">
        <v>58</v>
      </c>
      <c r="B16" t="s">
        <v>59</v>
      </c>
      <c r="C16" t="s">
        <v>34</v>
      </c>
      <c r="D16">
        <v>111</v>
      </c>
    </row>
    <row r="17" spans="1:4">
      <c r="A17" t="s">
        <v>60</v>
      </c>
      <c r="B17" t="s">
        <v>59</v>
      </c>
      <c r="C17" t="s">
        <v>61</v>
      </c>
      <c r="D17">
        <v>105</v>
      </c>
    </row>
    <row r="18" spans="1:4">
      <c r="A18" t="s">
        <v>62</v>
      </c>
      <c r="B18" t="s">
        <v>59</v>
      </c>
      <c r="C18" t="s">
        <v>63</v>
      </c>
      <c r="D18">
        <v>114</v>
      </c>
    </row>
    <row r="19" spans="1:4">
      <c r="A19" t="s">
        <v>64</v>
      </c>
      <c r="B19" t="s">
        <v>59</v>
      </c>
      <c r="C19" t="s">
        <v>65</v>
      </c>
      <c r="D19">
        <v>483</v>
      </c>
    </row>
    <row r="20" spans="1:4">
      <c r="A20" t="s">
        <v>66</v>
      </c>
      <c r="B20" t="s">
        <v>59</v>
      </c>
      <c r="C20" t="s">
        <v>67</v>
      </c>
      <c r="D20">
        <v>129</v>
      </c>
    </row>
    <row r="21" spans="1:4">
      <c r="A21" t="s">
        <v>68</v>
      </c>
      <c r="B21" t="s">
        <v>59</v>
      </c>
      <c r="C21" t="s">
        <v>69</v>
      </c>
      <c r="D21">
        <v>344</v>
      </c>
    </row>
    <row r="22" spans="1:4">
      <c r="A22" t="s">
        <v>70</v>
      </c>
      <c r="B22" t="s">
        <v>71</v>
      </c>
      <c r="C22" t="s">
        <v>27</v>
      </c>
      <c r="D22">
        <v>216</v>
      </c>
    </row>
    <row r="23" spans="1:4">
      <c r="A23" t="s">
        <v>72</v>
      </c>
      <c r="B23" t="s">
        <v>71</v>
      </c>
      <c r="C23" t="s">
        <v>29</v>
      </c>
      <c r="D23">
        <v>337</v>
      </c>
    </row>
    <row r="24" spans="1:4">
      <c r="A24" t="s">
        <v>73</v>
      </c>
      <c r="B24" t="s">
        <v>71</v>
      </c>
      <c r="C24" t="s">
        <v>31</v>
      </c>
      <c r="D24">
        <v>390</v>
      </c>
    </row>
    <row r="25" spans="1:4">
      <c r="A25" t="s">
        <v>74</v>
      </c>
      <c r="B25" t="s">
        <v>71</v>
      </c>
      <c r="C25" t="s">
        <v>75</v>
      </c>
      <c r="D25">
        <v>374</v>
      </c>
    </row>
    <row r="26" spans="1:4">
      <c r="A26" t="s">
        <v>76</v>
      </c>
      <c r="B26" t="s">
        <v>71</v>
      </c>
      <c r="C26" t="s">
        <v>77</v>
      </c>
      <c r="D26">
        <v>408</v>
      </c>
    </row>
    <row r="27" spans="1:4">
      <c r="A27" t="s">
        <v>78</v>
      </c>
      <c r="B27" t="s">
        <v>71</v>
      </c>
      <c r="C27" t="s">
        <v>79</v>
      </c>
      <c r="D27">
        <v>264</v>
      </c>
    </row>
    <row r="28" spans="1:4">
      <c r="A28" t="s">
        <v>80</v>
      </c>
      <c r="B28" t="s">
        <v>71</v>
      </c>
      <c r="C28" t="s">
        <v>81</v>
      </c>
      <c r="D28">
        <v>246</v>
      </c>
    </row>
    <row r="29" spans="1:4">
      <c r="A29" t="s">
        <v>82</v>
      </c>
      <c r="B29" t="s">
        <v>71</v>
      </c>
      <c r="C29" t="s">
        <v>83</v>
      </c>
      <c r="D29">
        <v>443</v>
      </c>
    </row>
    <row r="30" spans="1:4">
      <c r="A30" t="s">
        <v>84</v>
      </c>
      <c r="B30" t="s">
        <v>71</v>
      </c>
      <c r="C30" t="s">
        <v>85</v>
      </c>
      <c r="D30">
        <v>498</v>
      </c>
    </row>
    <row r="31" spans="1:4">
      <c r="A31" t="s">
        <v>86</v>
      </c>
      <c r="B31" t="s">
        <v>71</v>
      </c>
      <c r="C31" t="s">
        <v>87</v>
      </c>
      <c r="D31">
        <v>384</v>
      </c>
    </row>
    <row r="32" spans="1:4">
      <c r="A32" t="s">
        <v>88</v>
      </c>
      <c r="B32" t="s">
        <v>71</v>
      </c>
      <c r="C32" t="s">
        <v>89</v>
      </c>
      <c r="D32">
        <v>215</v>
      </c>
    </row>
    <row r="33" spans="1:4">
      <c r="A33" t="s">
        <v>90</v>
      </c>
      <c r="B33" t="s">
        <v>71</v>
      </c>
      <c r="C33" t="s">
        <v>91</v>
      </c>
      <c r="D33">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4BAA-8693-40C5-9403-B16648648E8E}">
  <sheetPr codeName="Sheet5">
    <tabColor theme="2" tint="-0.249977111117893"/>
  </sheetPr>
  <dimension ref="A1:P44"/>
  <sheetViews>
    <sheetView zoomScale="130" zoomScaleNormal="130" workbookViewId="0">
      <selection activeCell="G40" sqref="G40"/>
    </sheetView>
  </sheetViews>
  <sheetFormatPr defaultRowHeight="14.45"/>
  <cols>
    <col min="1" max="1" width="14.7109375" customWidth="1"/>
    <col min="2" max="2" width="14" bestFit="1" customWidth="1"/>
    <col min="3" max="3" width="11" customWidth="1"/>
    <col min="6" max="6" width="13" customWidth="1"/>
    <col min="7" max="7" width="16.5703125" customWidth="1"/>
    <col min="11" max="11" width="11.140625" bestFit="1" customWidth="1"/>
    <col min="12" max="12" width="12.85546875" bestFit="1" customWidth="1"/>
    <col min="14" max="14" width="13" bestFit="1" customWidth="1"/>
  </cols>
  <sheetData>
    <row r="1" spans="1:11" ht="18">
      <c r="A1" s="1" t="s">
        <v>92</v>
      </c>
      <c r="B1" s="1"/>
      <c r="C1" s="1"/>
      <c r="D1" s="1"/>
      <c r="E1" s="1"/>
      <c r="F1" s="1"/>
      <c r="G1" s="25"/>
    </row>
    <row r="2" spans="1:11">
      <c r="K2" s="4"/>
    </row>
    <row r="3" spans="1:11">
      <c r="A3" s="5" t="s">
        <v>93</v>
      </c>
      <c r="K3" s="4"/>
    </row>
    <row r="4" spans="1:11">
      <c r="K4" s="4"/>
    </row>
    <row r="5" spans="1:11" ht="15" thickBot="1">
      <c r="A5" s="19" t="s">
        <v>3</v>
      </c>
      <c r="B5" s="19" t="s">
        <v>4</v>
      </c>
      <c r="C5" s="19" t="s">
        <v>5</v>
      </c>
      <c r="F5" s="22" t="s">
        <v>94</v>
      </c>
      <c r="G5" s="6" t="s">
        <v>95</v>
      </c>
    </row>
    <row r="6" spans="1:11">
      <c r="A6" t="s">
        <v>6</v>
      </c>
      <c r="B6" t="s">
        <v>7</v>
      </c>
      <c r="C6" s="4">
        <v>44196</v>
      </c>
    </row>
    <row r="7" spans="1:11">
      <c r="A7" t="s">
        <v>6</v>
      </c>
      <c r="B7" t="s">
        <v>8</v>
      </c>
      <c r="C7" s="4">
        <v>20898</v>
      </c>
      <c r="F7" s="10" t="str" cm="1">
        <f t="array" ref="F7:H9">_xlfn._xlws.FILTER(A6:C20,B6:B20=G5,"Not found")</f>
        <v>Electronics</v>
      </c>
      <c r="G7" t="str">
        <v>Delhi</v>
      </c>
      <c r="H7">
        <v>34196</v>
      </c>
    </row>
    <row r="8" spans="1:11">
      <c r="A8" t="s">
        <v>6</v>
      </c>
      <c r="B8" t="s">
        <v>10</v>
      </c>
      <c r="C8" s="4">
        <v>46994</v>
      </c>
      <c r="F8" t="str">
        <v>Clothing</v>
      </c>
      <c r="G8" t="str">
        <v>Delhi</v>
      </c>
      <c r="H8">
        <v>29277</v>
      </c>
    </row>
    <row r="9" spans="1:11">
      <c r="A9" t="s">
        <v>6</v>
      </c>
      <c r="B9" t="s">
        <v>12</v>
      </c>
      <c r="C9" s="4">
        <v>43695</v>
      </c>
      <c r="F9" t="str">
        <v>Toys</v>
      </c>
      <c r="G9" t="str">
        <v>Delhi</v>
      </c>
      <c r="H9">
        <v>49656</v>
      </c>
    </row>
    <row r="10" spans="1:11">
      <c r="A10" t="s">
        <v>6</v>
      </c>
      <c r="B10" t="s">
        <v>14</v>
      </c>
      <c r="C10" s="4">
        <v>34196</v>
      </c>
    </row>
    <row r="11" spans="1:11" ht="15" thickBot="1">
      <c r="A11" t="s">
        <v>16</v>
      </c>
      <c r="B11" t="s">
        <v>7</v>
      </c>
      <c r="C11" s="4">
        <v>34155</v>
      </c>
      <c r="E11" s="22" t="s">
        <v>96</v>
      </c>
      <c r="F11" s="20"/>
      <c r="G11" s="7">
        <v>45000</v>
      </c>
    </row>
    <row r="12" spans="1:11">
      <c r="A12" t="s">
        <v>16</v>
      </c>
      <c r="B12" t="s">
        <v>8</v>
      </c>
      <c r="C12" s="4">
        <v>24396</v>
      </c>
    </row>
    <row r="13" spans="1:11">
      <c r="A13" t="s">
        <v>16</v>
      </c>
      <c r="B13" t="s">
        <v>10</v>
      </c>
      <c r="C13" s="4">
        <v>29276</v>
      </c>
      <c r="F13" s="10" t="str" cm="1">
        <f t="array" ref="F13:H16">_xlfn._xlws.FILTER(A6:C20,C6:C20&gt;G11,"Not Found")</f>
        <v>Electronics</v>
      </c>
      <c r="G13" t="str">
        <v>Kerala</v>
      </c>
      <c r="H13">
        <v>46994</v>
      </c>
    </row>
    <row r="14" spans="1:11">
      <c r="A14" t="s">
        <v>16</v>
      </c>
      <c r="B14" t="s">
        <v>12</v>
      </c>
      <c r="C14" s="4">
        <v>45540</v>
      </c>
      <c r="F14" t="str">
        <v>Clothing</v>
      </c>
      <c r="G14" t="str">
        <v>Gujrat</v>
      </c>
      <c r="H14">
        <v>45540</v>
      </c>
    </row>
    <row r="15" spans="1:11">
      <c r="A15" t="s">
        <v>16</v>
      </c>
      <c r="B15" t="s">
        <v>14</v>
      </c>
      <c r="C15" s="4">
        <v>29277</v>
      </c>
      <c r="F15" t="str">
        <v>Toys</v>
      </c>
      <c r="G15" t="str">
        <v>Gujrat</v>
      </c>
      <c r="H15">
        <v>46336</v>
      </c>
    </row>
    <row r="16" spans="1:11">
      <c r="A16" t="s">
        <v>17</v>
      </c>
      <c r="B16" t="s">
        <v>7</v>
      </c>
      <c r="C16" s="4">
        <v>44675</v>
      </c>
      <c r="F16" t="str">
        <v>Toys</v>
      </c>
      <c r="G16" t="str">
        <v>Delhi</v>
      </c>
      <c r="H16">
        <v>49656</v>
      </c>
    </row>
    <row r="17" spans="1:10">
      <c r="A17" t="s">
        <v>17</v>
      </c>
      <c r="B17" t="s">
        <v>8</v>
      </c>
      <c r="C17" s="4">
        <v>42569</v>
      </c>
    </row>
    <row r="18" spans="1:10">
      <c r="A18" t="s">
        <v>17</v>
      </c>
      <c r="B18" t="s">
        <v>10</v>
      </c>
      <c r="C18" s="4">
        <v>43784</v>
      </c>
    </row>
    <row r="19" spans="1:10">
      <c r="A19" t="s">
        <v>17</v>
      </c>
      <c r="B19" t="s">
        <v>12</v>
      </c>
      <c r="C19" s="4">
        <v>46336</v>
      </c>
    </row>
    <row r="20" spans="1:10">
      <c r="A20" t="s">
        <v>17</v>
      </c>
      <c r="B20" t="s">
        <v>14</v>
      </c>
      <c r="C20" s="4">
        <v>49656</v>
      </c>
    </row>
    <row r="27" spans="1:10">
      <c r="A27" s="70" t="s">
        <v>97</v>
      </c>
      <c r="F27" s="2"/>
      <c r="G27" s="2"/>
      <c r="H27" s="2"/>
      <c r="I27" s="61"/>
      <c r="J27" s="61"/>
    </row>
    <row r="29" spans="1:10">
      <c r="A29" s="3" t="s">
        <v>3</v>
      </c>
      <c r="B29" s="3" t="s">
        <v>4</v>
      </c>
      <c r="C29" s="3" t="s">
        <v>5</v>
      </c>
      <c r="F29" s="9" t="s">
        <v>3</v>
      </c>
      <c r="G29" s="6" t="s">
        <v>98</v>
      </c>
    </row>
    <row r="30" spans="1:10">
      <c r="A30" t="s">
        <v>6</v>
      </c>
      <c r="B30" t="s">
        <v>7</v>
      </c>
      <c r="C30" s="4">
        <v>44196</v>
      </c>
    </row>
    <row r="31" spans="1:10">
      <c r="A31" t="s">
        <v>6</v>
      </c>
      <c r="B31" t="s">
        <v>8</v>
      </c>
      <c r="C31" s="4">
        <v>20898</v>
      </c>
      <c r="F31" s="10" t="str" cm="1">
        <f t="array" ref="F31:H35">_xlfn._xlws.FILTER(TableDiv6[],TableDiv6[Department]=G29,"Not Found")</f>
        <v>Toys</v>
      </c>
      <c r="G31" t="str">
        <v>Punjab</v>
      </c>
      <c r="H31">
        <v>44675</v>
      </c>
    </row>
    <row r="32" spans="1:10">
      <c r="A32" t="s">
        <v>6</v>
      </c>
      <c r="B32" t="s">
        <v>10</v>
      </c>
      <c r="C32" s="4">
        <v>46994</v>
      </c>
      <c r="F32" t="str">
        <v>Toys</v>
      </c>
      <c r="G32" t="str">
        <v>Maharashtra</v>
      </c>
      <c r="H32">
        <v>42569</v>
      </c>
    </row>
    <row r="33" spans="1:16">
      <c r="A33" t="s">
        <v>6</v>
      </c>
      <c r="B33" t="s">
        <v>12</v>
      </c>
      <c r="C33" s="4">
        <v>43695</v>
      </c>
      <c r="F33" t="str">
        <v>Toys</v>
      </c>
      <c r="G33" t="str">
        <v>Kerala</v>
      </c>
      <c r="H33">
        <v>43784</v>
      </c>
    </row>
    <row r="34" spans="1:16">
      <c r="A34" t="s">
        <v>6</v>
      </c>
      <c r="B34" t="s">
        <v>14</v>
      </c>
      <c r="C34" s="4">
        <v>34196</v>
      </c>
      <c r="F34" t="str">
        <v>Toys</v>
      </c>
      <c r="G34" t="str">
        <v>Gujrat</v>
      </c>
      <c r="H34">
        <v>46336</v>
      </c>
    </row>
    <row r="35" spans="1:16">
      <c r="A35" t="s">
        <v>16</v>
      </c>
      <c r="B35" t="s">
        <v>7</v>
      </c>
      <c r="C35" s="4">
        <v>34155</v>
      </c>
      <c r="F35" t="str">
        <v>Toys</v>
      </c>
      <c r="G35" t="str">
        <v>Delhi</v>
      </c>
      <c r="H35">
        <v>49656</v>
      </c>
    </row>
    <row r="36" spans="1:16">
      <c r="A36" t="s">
        <v>16</v>
      </c>
      <c r="B36" t="s">
        <v>8</v>
      </c>
      <c r="C36" s="4">
        <v>24396</v>
      </c>
    </row>
    <row r="37" spans="1:16">
      <c r="A37" t="s">
        <v>16</v>
      </c>
      <c r="B37" t="s">
        <v>10</v>
      </c>
      <c r="C37" s="4">
        <v>29276</v>
      </c>
      <c r="F37" s="9" t="s">
        <v>3</v>
      </c>
      <c r="G37" s="8" t="s">
        <v>17</v>
      </c>
      <c r="K37" s="9" t="s">
        <v>4</v>
      </c>
      <c r="L37" s="8" t="s">
        <v>7</v>
      </c>
      <c r="M37" s="62" t="s">
        <v>99</v>
      </c>
      <c r="N37" s="8" t="s">
        <v>10</v>
      </c>
      <c r="P37" t="s">
        <v>100</v>
      </c>
    </row>
    <row r="38" spans="1:16">
      <c r="A38" t="s">
        <v>16</v>
      </c>
      <c r="B38" t="s">
        <v>12</v>
      </c>
      <c r="C38" s="4">
        <v>45540</v>
      </c>
      <c r="F38" t="s">
        <v>101</v>
      </c>
      <c r="I38" t="s">
        <v>102</v>
      </c>
    </row>
    <row r="39" spans="1:16">
      <c r="A39" t="s">
        <v>16</v>
      </c>
      <c r="B39" t="s">
        <v>14</v>
      </c>
      <c r="C39" s="4">
        <v>29277</v>
      </c>
      <c r="F39" s="9" t="s">
        <v>4</v>
      </c>
      <c r="G39" s="6" t="s">
        <v>103</v>
      </c>
      <c r="K39" s="10" t="str" cm="1">
        <f t="array" ref="K39:M44">_xlfn._xlws.FILTER(TableDiv6[],(TableDiv6[Indian State]=L37)+(TableDiv6[Indian State]=N37))</f>
        <v>Electronics</v>
      </c>
      <c r="L39" t="str">
        <v>Punjab</v>
      </c>
      <c r="M39">
        <v>44196</v>
      </c>
    </row>
    <row r="40" spans="1:16">
      <c r="A40" t="s">
        <v>17</v>
      </c>
      <c r="B40" t="s">
        <v>7</v>
      </c>
      <c r="C40" s="4">
        <v>44675</v>
      </c>
      <c r="K40" t="str">
        <v>Electronics</v>
      </c>
      <c r="L40" t="str">
        <v>Kerala</v>
      </c>
      <c r="M40">
        <v>46994</v>
      </c>
    </row>
    <row r="41" spans="1:16" ht="121.5">
      <c r="A41" t="s">
        <v>17</v>
      </c>
      <c r="B41" t="s">
        <v>8</v>
      </c>
      <c r="C41" s="4">
        <v>42569</v>
      </c>
      <c r="F41" s="76" t="str" cm="1">
        <f t="array" ref="F41:H41">_xlfn._xlws.FILTER(TableDiv6[],(TableDiv6[Department]=G37)*(TableDiv6[Indian State]=G39),"Not Found")</f>
        <v>Toys</v>
      </c>
      <c r="G41" t="str">
        <v>Kerala</v>
      </c>
      <c r="H41">
        <v>43784</v>
      </c>
      <c r="K41" t="str">
        <v>Clothing</v>
      </c>
      <c r="L41" t="str">
        <v>Punjab</v>
      </c>
      <c r="M41">
        <v>34155</v>
      </c>
    </row>
    <row r="42" spans="1:16">
      <c r="A42" t="s">
        <v>17</v>
      </c>
      <c r="B42" t="s">
        <v>10</v>
      </c>
      <c r="C42" s="4">
        <v>43784</v>
      </c>
      <c r="F42" t="str" cm="1">
        <f t="array" ref="F42:H42">_xlfn._xlws.FILTER(TableDiv6[],(TableDiv6[Department]=G37)*(TableDiv6[Indian State]=G39),"Not Found")</f>
        <v>Toys</v>
      </c>
      <c r="G42" t="str">
        <v>Kerala</v>
      </c>
      <c r="H42">
        <v>43784</v>
      </c>
      <c r="K42" t="str">
        <v>Clothing</v>
      </c>
      <c r="L42" t="str">
        <v>Kerala</v>
      </c>
      <c r="M42">
        <v>29276</v>
      </c>
    </row>
    <row r="43" spans="1:16">
      <c r="A43" t="s">
        <v>17</v>
      </c>
      <c r="B43" t="s">
        <v>12</v>
      </c>
      <c r="C43" s="4">
        <v>46336</v>
      </c>
      <c r="K43" t="str">
        <v>Toys</v>
      </c>
      <c r="L43" t="str">
        <v>Punjab</v>
      </c>
      <c r="M43">
        <v>44675</v>
      </c>
    </row>
    <row r="44" spans="1:16">
      <c r="A44" t="s">
        <v>17</v>
      </c>
      <c r="B44" t="s">
        <v>14</v>
      </c>
      <c r="C44" s="4">
        <v>49656</v>
      </c>
      <c r="K44" t="str">
        <v>Toys</v>
      </c>
      <c r="L44" t="str">
        <v>Kerala</v>
      </c>
      <c r="M44">
        <v>43784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D8F2-12A5-403C-8E9C-A2002257EB0C}">
  <sheetPr codeName="Sheet6">
    <tabColor theme="2" tint="-0.249977111117893"/>
  </sheetPr>
  <dimension ref="A1:Q63"/>
  <sheetViews>
    <sheetView zoomScale="115" zoomScaleNormal="115" workbookViewId="0">
      <selection activeCell="J6" sqref="J6"/>
    </sheetView>
  </sheetViews>
  <sheetFormatPr defaultRowHeight="14.45"/>
  <cols>
    <col min="1" max="1" width="13.28515625" customWidth="1"/>
    <col min="2" max="2" width="14" bestFit="1" customWidth="1"/>
    <col min="3" max="3" width="11" customWidth="1"/>
    <col min="6" max="6" width="14" customWidth="1"/>
    <col min="7" max="7" width="16.5703125" customWidth="1"/>
    <col min="10" max="10" width="14.28515625" customWidth="1"/>
    <col min="11" max="11" width="14" bestFit="1" customWidth="1"/>
    <col min="14" max="14" width="14.140625" hidden="1" customWidth="1"/>
    <col min="15" max="15" width="14" hidden="1" customWidth="1"/>
    <col min="16" max="17" width="0" hidden="1" customWidth="1"/>
  </cols>
  <sheetData>
    <row r="1" spans="1:17" ht="18">
      <c r="A1" s="1" t="s">
        <v>104</v>
      </c>
      <c r="B1" s="1"/>
      <c r="C1" s="1"/>
      <c r="D1" s="1"/>
      <c r="E1" s="1"/>
      <c r="F1" s="1"/>
      <c r="G1" s="25"/>
    </row>
    <row r="2" spans="1:17" ht="10.5" customHeight="1"/>
    <row r="3" spans="1:17">
      <c r="A3" s="5" t="s">
        <v>105</v>
      </c>
      <c r="F3" s="5" t="s">
        <v>106</v>
      </c>
      <c r="J3" s="5" t="s">
        <v>107</v>
      </c>
      <c r="N3" s="5"/>
    </row>
    <row r="5" spans="1:17" ht="15" thickBot="1">
      <c r="A5" s="19" t="s">
        <v>3</v>
      </c>
      <c r="B5" s="19" t="s">
        <v>4</v>
      </c>
      <c r="C5" s="19" t="s">
        <v>5</v>
      </c>
      <c r="F5" s="20" t="s">
        <v>3</v>
      </c>
      <c r="G5" s="20" t="s">
        <v>4</v>
      </c>
      <c r="H5" s="20" t="s">
        <v>5</v>
      </c>
      <c r="J5" s="20" t="s">
        <v>3</v>
      </c>
      <c r="K5" s="20" t="s">
        <v>4</v>
      </c>
      <c r="L5" s="20" t="s">
        <v>5</v>
      </c>
      <c r="N5" s="20"/>
      <c r="O5" s="20"/>
      <c r="P5" s="20"/>
    </row>
    <row r="6" spans="1:17">
      <c r="A6" t="s">
        <v>6</v>
      </c>
      <c r="B6" t="s">
        <v>7</v>
      </c>
      <c r="C6" s="4">
        <v>44196</v>
      </c>
      <c r="F6" s="28" t="str" cm="1">
        <f t="array" ref="F6:H20">_xlfn._xlws.SORT(A6:C20,3,-1,FALSE)</f>
        <v>Toys</v>
      </c>
      <c r="G6" s="29" t="str">
        <v>Delhi</v>
      </c>
      <c r="H6" s="29">
        <v>49656</v>
      </c>
      <c r="I6" s="29"/>
      <c r="J6" s="28" t="str" cm="1">
        <f t="array" ref="J6:L20">_xlfn._xlws.SORT(A6:C20,1,1,FALSE)</f>
        <v>Clothing</v>
      </c>
      <c r="K6" s="29" t="str">
        <v>Punjab</v>
      </c>
      <c r="L6" s="29">
        <v>34155</v>
      </c>
      <c r="M6" s="29"/>
      <c r="N6" s="28"/>
      <c r="O6" s="29"/>
      <c r="P6" s="29"/>
      <c r="Q6" s="29"/>
    </row>
    <row r="7" spans="1:17">
      <c r="A7" t="s">
        <v>6</v>
      </c>
      <c r="B7" t="s">
        <v>8</v>
      </c>
      <c r="C7" s="4">
        <v>20898</v>
      </c>
      <c r="F7" s="29" t="str">
        <v>Electronics</v>
      </c>
      <c r="G7" s="29" t="str">
        <v>Kerala</v>
      </c>
      <c r="H7" s="29">
        <v>46994</v>
      </c>
      <c r="I7" s="29"/>
      <c r="J7" s="29" t="str">
        <v>Clothing</v>
      </c>
      <c r="K7" s="29" t="str">
        <v>Maharashtra</v>
      </c>
      <c r="L7" s="29">
        <v>24396</v>
      </c>
      <c r="M7" s="29"/>
      <c r="N7" s="29"/>
      <c r="O7" s="29"/>
      <c r="P7" s="29"/>
      <c r="Q7" s="29"/>
    </row>
    <row r="8" spans="1:17">
      <c r="A8" t="s">
        <v>6</v>
      </c>
      <c r="B8" t="s">
        <v>10</v>
      </c>
      <c r="C8" s="4">
        <v>46994</v>
      </c>
      <c r="F8" s="29" t="str">
        <v>Toys</v>
      </c>
      <c r="G8" s="29" t="str">
        <v>Gujrat</v>
      </c>
      <c r="H8" s="29">
        <v>46336</v>
      </c>
      <c r="I8" s="29"/>
      <c r="J8" s="29" t="str">
        <v>Clothing</v>
      </c>
      <c r="K8" s="29" t="str">
        <v>Kerala</v>
      </c>
      <c r="L8" s="29">
        <v>29276</v>
      </c>
      <c r="M8" s="29"/>
      <c r="N8" s="29"/>
      <c r="O8" s="29"/>
      <c r="P8" s="29"/>
      <c r="Q8" s="29"/>
    </row>
    <row r="9" spans="1:17">
      <c r="A9" t="s">
        <v>6</v>
      </c>
      <c r="B9" t="s">
        <v>12</v>
      </c>
      <c r="C9" s="4">
        <v>43695</v>
      </c>
      <c r="F9" s="29" t="str">
        <v>Clothing</v>
      </c>
      <c r="G9" s="29" t="str">
        <v>Gujrat</v>
      </c>
      <c r="H9" s="29">
        <v>45540</v>
      </c>
      <c r="I9" s="29"/>
      <c r="J9" s="29" t="str">
        <v>Clothing</v>
      </c>
      <c r="K9" s="29" t="str">
        <v>Gujrat</v>
      </c>
      <c r="L9" s="29">
        <v>45540</v>
      </c>
      <c r="M9" s="29"/>
      <c r="N9" s="29"/>
      <c r="O9" s="29"/>
      <c r="P9" s="29"/>
      <c r="Q9" s="29"/>
    </row>
    <row r="10" spans="1:17">
      <c r="A10" t="s">
        <v>6</v>
      </c>
      <c r="B10" t="s">
        <v>14</v>
      </c>
      <c r="C10" s="4">
        <v>34196</v>
      </c>
      <c r="F10" s="29" t="str">
        <v>Toys</v>
      </c>
      <c r="G10" s="29" t="str">
        <v>Punjab</v>
      </c>
      <c r="H10" s="29">
        <v>44675</v>
      </c>
      <c r="I10" s="29"/>
      <c r="J10" s="29" t="str">
        <v>Clothing</v>
      </c>
      <c r="K10" s="29" t="str">
        <v>Delhi</v>
      </c>
      <c r="L10" s="29">
        <v>29277</v>
      </c>
      <c r="M10" s="29"/>
      <c r="N10" s="29"/>
      <c r="O10" s="29"/>
      <c r="P10" s="29"/>
      <c r="Q10" s="29"/>
    </row>
    <row r="11" spans="1:17">
      <c r="A11" t="s">
        <v>16</v>
      </c>
      <c r="B11" t="s">
        <v>7</v>
      </c>
      <c r="C11" s="4">
        <v>34155</v>
      </c>
      <c r="F11" s="29" t="str">
        <v>Electronics</v>
      </c>
      <c r="G11" s="29" t="str">
        <v>Punjab</v>
      </c>
      <c r="H11" s="29">
        <v>44196</v>
      </c>
      <c r="I11" s="29"/>
      <c r="J11" s="29" t="str">
        <v>Electronics</v>
      </c>
      <c r="K11" s="29" t="str">
        <v>Punjab</v>
      </c>
      <c r="L11" s="29">
        <v>44196</v>
      </c>
      <c r="M11" s="29"/>
      <c r="N11" s="29"/>
      <c r="O11" s="29"/>
      <c r="P11" s="29"/>
      <c r="Q11" s="29"/>
    </row>
    <row r="12" spans="1:17">
      <c r="A12" t="s">
        <v>16</v>
      </c>
      <c r="B12" t="s">
        <v>8</v>
      </c>
      <c r="C12" s="4">
        <v>24396</v>
      </c>
      <c r="F12" s="29" t="str">
        <v>Toys</v>
      </c>
      <c r="G12" s="29" t="str">
        <v>Kerala</v>
      </c>
      <c r="H12" s="29">
        <v>43784</v>
      </c>
      <c r="I12" s="29"/>
      <c r="J12" s="29" t="str">
        <v>Electronics</v>
      </c>
      <c r="K12" s="29" t="str">
        <v>Maharashtra</v>
      </c>
      <c r="L12" s="29">
        <v>20898</v>
      </c>
      <c r="M12" s="29"/>
      <c r="N12" s="29"/>
      <c r="O12" s="29"/>
      <c r="P12" s="29"/>
      <c r="Q12" s="29"/>
    </row>
    <row r="13" spans="1:17">
      <c r="A13" t="s">
        <v>16</v>
      </c>
      <c r="B13" t="s">
        <v>10</v>
      </c>
      <c r="C13" s="4">
        <v>29276</v>
      </c>
      <c r="F13" s="29" t="str">
        <v>Electronics</v>
      </c>
      <c r="G13" s="29" t="str">
        <v>Gujrat</v>
      </c>
      <c r="H13" s="29">
        <v>43695</v>
      </c>
      <c r="I13" s="29"/>
      <c r="J13" s="29" t="str">
        <v>Electronics</v>
      </c>
      <c r="K13" s="29" t="str">
        <v>Kerala</v>
      </c>
      <c r="L13" s="29">
        <v>46994</v>
      </c>
      <c r="M13" s="29"/>
      <c r="N13" s="29"/>
      <c r="O13" s="29"/>
      <c r="P13" s="29"/>
      <c r="Q13" s="29"/>
    </row>
    <row r="14" spans="1:17">
      <c r="A14" t="s">
        <v>16</v>
      </c>
      <c r="B14" t="s">
        <v>12</v>
      </c>
      <c r="C14" s="4">
        <v>45540</v>
      </c>
      <c r="F14" s="29" t="str">
        <v>Toys</v>
      </c>
      <c r="G14" s="29" t="str">
        <v>Maharashtra</v>
      </c>
      <c r="H14" s="29">
        <v>42569</v>
      </c>
      <c r="I14" s="29"/>
      <c r="J14" s="29" t="str">
        <v>Electronics</v>
      </c>
      <c r="K14" s="29" t="str">
        <v>Gujrat</v>
      </c>
      <c r="L14" s="29">
        <v>43695</v>
      </c>
      <c r="M14" s="29"/>
      <c r="N14" s="29"/>
      <c r="O14" s="29"/>
      <c r="P14" s="29"/>
      <c r="Q14" s="29"/>
    </row>
    <row r="15" spans="1:17">
      <c r="A15" t="s">
        <v>16</v>
      </c>
      <c r="B15" t="s">
        <v>14</v>
      </c>
      <c r="C15" s="4">
        <v>29277</v>
      </c>
      <c r="F15" s="29" t="str">
        <v>Electronics</v>
      </c>
      <c r="G15" s="29" t="str">
        <v>Delhi</v>
      </c>
      <c r="H15" s="29">
        <v>34196</v>
      </c>
      <c r="I15" s="29"/>
      <c r="J15" s="29" t="str">
        <v>Electronics</v>
      </c>
      <c r="K15" s="29" t="str">
        <v>Delhi</v>
      </c>
      <c r="L15" s="29">
        <v>34196</v>
      </c>
      <c r="M15" s="29"/>
      <c r="N15" s="29"/>
      <c r="O15" s="29"/>
      <c r="P15" s="29"/>
      <c r="Q15" s="29"/>
    </row>
    <row r="16" spans="1:17">
      <c r="A16" t="s">
        <v>17</v>
      </c>
      <c r="B16" t="s">
        <v>7</v>
      </c>
      <c r="C16" s="4">
        <v>44675</v>
      </c>
      <c r="F16" s="29" t="str">
        <v>Clothing</v>
      </c>
      <c r="G16" s="29" t="str">
        <v>Punjab</v>
      </c>
      <c r="H16" s="29">
        <v>34155</v>
      </c>
      <c r="I16" s="29"/>
      <c r="J16" s="29" t="str">
        <v>Toys</v>
      </c>
      <c r="K16" s="29" t="str">
        <v>Punjab</v>
      </c>
      <c r="L16" s="29">
        <v>44675</v>
      </c>
      <c r="M16" s="29"/>
      <c r="N16" s="29"/>
      <c r="O16" s="29"/>
      <c r="P16" s="29"/>
      <c r="Q16" s="29"/>
    </row>
    <row r="17" spans="1:17">
      <c r="A17" t="s">
        <v>17</v>
      </c>
      <c r="B17" t="s">
        <v>8</v>
      </c>
      <c r="C17" s="4">
        <v>42569</v>
      </c>
      <c r="F17" s="29" t="str">
        <v>Clothing</v>
      </c>
      <c r="G17" s="29" t="str">
        <v>Delhi</v>
      </c>
      <c r="H17" s="29">
        <v>29277</v>
      </c>
      <c r="I17" s="29"/>
      <c r="J17" s="29" t="str">
        <v>Toys</v>
      </c>
      <c r="K17" s="29" t="str">
        <v>Maharashtra</v>
      </c>
      <c r="L17" s="29">
        <v>42569</v>
      </c>
      <c r="M17" s="29"/>
      <c r="N17" s="29"/>
      <c r="O17" s="29"/>
      <c r="P17" s="29"/>
      <c r="Q17" s="29"/>
    </row>
    <row r="18" spans="1:17">
      <c r="A18" t="s">
        <v>17</v>
      </c>
      <c r="B18" t="s">
        <v>10</v>
      </c>
      <c r="C18" s="4">
        <v>43784</v>
      </c>
      <c r="F18" s="29" t="str">
        <v>Clothing</v>
      </c>
      <c r="G18" s="29" t="str">
        <v>Kerala</v>
      </c>
      <c r="H18" s="29">
        <v>29276</v>
      </c>
      <c r="I18" s="29"/>
      <c r="J18" s="29" t="str">
        <v>Toys</v>
      </c>
      <c r="K18" s="29" t="str">
        <v>Kerala</v>
      </c>
      <c r="L18" s="29">
        <v>43784</v>
      </c>
      <c r="M18" s="29"/>
      <c r="N18" s="29"/>
      <c r="O18" s="29"/>
      <c r="P18" s="29"/>
      <c r="Q18" s="29"/>
    </row>
    <row r="19" spans="1:17">
      <c r="A19" t="s">
        <v>17</v>
      </c>
      <c r="B19" t="s">
        <v>12</v>
      </c>
      <c r="C19" s="4">
        <v>46336</v>
      </c>
      <c r="F19" s="29" t="str">
        <v>Clothing</v>
      </c>
      <c r="G19" s="29" t="str">
        <v>Maharashtra</v>
      </c>
      <c r="H19" s="29">
        <v>24396</v>
      </c>
      <c r="I19" s="29"/>
      <c r="J19" s="29" t="str">
        <v>Toys</v>
      </c>
      <c r="K19" s="29" t="str">
        <v>Gujrat</v>
      </c>
      <c r="L19" s="29">
        <v>46336</v>
      </c>
      <c r="M19" s="29"/>
      <c r="N19" s="29"/>
      <c r="O19" s="29"/>
      <c r="P19" s="29"/>
      <c r="Q19" s="29"/>
    </row>
    <row r="20" spans="1:17">
      <c r="A20" t="s">
        <v>17</v>
      </c>
      <c r="B20" t="s">
        <v>14</v>
      </c>
      <c r="C20" s="4">
        <v>49656</v>
      </c>
      <c r="F20" s="29" t="str">
        <v>Electronics</v>
      </c>
      <c r="G20" s="29" t="str">
        <v>Maharashtra</v>
      </c>
      <c r="H20" s="29">
        <v>20898</v>
      </c>
      <c r="I20" s="29"/>
      <c r="J20" s="29" t="str">
        <v>Toys</v>
      </c>
      <c r="K20" s="29" t="str">
        <v>Delhi</v>
      </c>
      <c r="L20" s="29">
        <v>49656</v>
      </c>
      <c r="M20" s="29"/>
      <c r="N20" s="29"/>
      <c r="O20" s="29"/>
      <c r="P20" s="29"/>
      <c r="Q20" s="29"/>
    </row>
    <row r="21" spans="1:17">
      <c r="F21" s="29"/>
      <c r="G21" s="29"/>
      <c r="H21" s="29"/>
      <c r="I21" s="29"/>
      <c r="J21" s="29"/>
      <c r="K21" s="29"/>
      <c r="L21" s="29"/>
      <c r="M21" s="29"/>
      <c r="N21" s="29"/>
      <c r="O21" s="29"/>
      <c r="P21" s="29"/>
      <c r="Q21" s="29"/>
    </row>
    <row r="22" spans="1:17">
      <c r="F22" s="29"/>
      <c r="G22" s="29"/>
      <c r="H22" s="29"/>
      <c r="I22" s="29"/>
      <c r="J22" s="29"/>
      <c r="K22" s="29"/>
      <c r="L22" s="29"/>
      <c r="M22" s="29"/>
      <c r="N22" s="29"/>
      <c r="O22" s="29"/>
      <c r="P22" s="29"/>
      <c r="Q22" s="29"/>
    </row>
    <row r="23" spans="1:17">
      <c r="F23" s="29"/>
      <c r="G23" s="29"/>
      <c r="H23" s="29"/>
      <c r="I23" s="29"/>
      <c r="J23" s="29"/>
      <c r="K23" s="29"/>
      <c r="L23" s="29"/>
      <c r="M23" s="29"/>
      <c r="N23" s="29"/>
      <c r="O23" s="29"/>
      <c r="P23" s="29"/>
      <c r="Q23" s="29"/>
    </row>
    <row r="24" spans="1:17" ht="18">
      <c r="A24" s="1" t="s">
        <v>108</v>
      </c>
      <c r="B24" s="1"/>
      <c r="C24" s="1"/>
      <c r="F24" s="29"/>
      <c r="G24" s="29"/>
      <c r="H24" s="29"/>
      <c r="I24" s="29"/>
      <c r="J24" s="29"/>
      <c r="K24" s="29"/>
      <c r="L24" s="29"/>
      <c r="M24" s="29"/>
      <c r="N24" s="29"/>
      <c r="O24" s="29"/>
      <c r="P24" s="29"/>
      <c r="Q24" s="29"/>
    </row>
    <row r="25" spans="1:17" ht="8.25" customHeight="1"/>
    <row r="26" spans="1:17">
      <c r="A26" s="5" t="s">
        <v>109</v>
      </c>
    </row>
    <row r="27" spans="1:17">
      <c r="F27" s="5" t="s">
        <v>110</v>
      </c>
    </row>
    <row r="29" spans="1:17">
      <c r="A29" s="3" t="s">
        <v>3</v>
      </c>
      <c r="B29" s="3" t="s">
        <v>4</v>
      </c>
      <c r="C29" s="3" t="s">
        <v>5</v>
      </c>
      <c r="F29" s="9" t="s">
        <v>3</v>
      </c>
      <c r="G29" s="9" t="s">
        <v>4</v>
      </c>
    </row>
    <row r="30" spans="1:17">
      <c r="A30" t="s">
        <v>6</v>
      </c>
      <c r="B30" t="s">
        <v>7</v>
      </c>
      <c r="C30" s="4">
        <v>44196</v>
      </c>
      <c r="F30" s="10" t="str" cm="1">
        <f t="array" ref="F30:G44">_xlfn.SORTBY(A30:B44,C30:C44,-1)</f>
        <v>Toys</v>
      </c>
      <c r="G30" t="str">
        <v>Delhi</v>
      </c>
    </row>
    <row r="31" spans="1:17">
      <c r="A31" t="s">
        <v>6</v>
      </c>
      <c r="B31" t="s">
        <v>8</v>
      </c>
      <c r="C31" s="4">
        <v>20898</v>
      </c>
      <c r="F31" t="str">
        <v>Electronics</v>
      </c>
      <c r="G31" t="str">
        <v>Kerala</v>
      </c>
    </row>
    <row r="32" spans="1:17">
      <c r="A32" t="s">
        <v>6</v>
      </c>
      <c r="B32" t="s">
        <v>10</v>
      </c>
      <c r="C32" s="4">
        <v>46994</v>
      </c>
      <c r="F32" t="str">
        <v>Toys</v>
      </c>
      <c r="G32" t="str">
        <v>Gujrat</v>
      </c>
    </row>
    <row r="33" spans="1:7">
      <c r="A33" t="s">
        <v>6</v>
      </c>
      <c r="B33" t="s">
        <v>12</v>
      </c>
      <c r="C33" s="4">
        <v>43695</v>
      </c>
      <c r="F33" t="str">
        <v>Clothing</v>
      </c>
      <c r="G33" t="str">
        <v>Gujrat</v>
      </c>
    </row>
    <row r="34" spans="1:7">
      <c r="A34" t="s">
        <v>6</v>
      </c>
      <c r="B34" t="s">
        <v>14</v>
      </c>
      <c r="C34" s="4">
        <v>34196</v>
      </c>
      <c r="F34" t="str">
        <v>Toys</v>
      </c>
      <c r="G34" t="str">
        <v>Punjab</v>
      </c>
    </row>
    <row r="35" spans="1:7">
      <c r="A35" t="s">
        <v>16</v>
      </c>
      <c r="B35" t="s">
        <v>7</v>
      </c>
      <c r="C35" s="4">
        <v>34155</v>
      </c>
      <c r="F35" t="str">
        <v>Electronics</v>
      </c>
      <c r="G35" t="str">
        <v>Punjab</v>
      </c>
    </row>
    <row r="36" spans="1:7">
      <c r="A36" t="s">
        <v>16</v>
      </c>
      <c r="B36" t="s">
        <v>8</v>
      </c>
      <c r="C36" s="4">
        <v>24396</v>
      </c>
      <c r="F36" t="str">
        <v>Toys</v>
      </c>
      <c r="G36" t="str">
        <v>Kerala</v>
      </c>
    </row>
    <row r="37" spans="1:7">
      <c r="A37" t="s">
        <v>16</v>
      </c>
      <c r="B37" t="s">
        <v>10</v>
      </c>
      <c r="C37" s="4">
        <v>29276</v>
      </c>
      <c r="F37" t="str">
        <v>Electronics</v>
      </c>
      <c r="G37" t="str">
        <v>Gujrat</v>
      </c>
    </row>
    <row r="38" spans="1:7">
      <c r="A38" t="s">
        <v>16</v>
      </c>
      <c r="B38" t="s">
        <v>12</v>
      </c>
      <c r="C38" s="4">
        <v>45540</v>
      </c>
      <c r="F38" t="str">
        <v>Toys</v>
      </c>
      <c r="G38" t="str">
        <v>Maharashtra</v>
      </c>
    </row>
    <row r="39" spans="1:7">
      <c r="A39" t="s">
        <v>16</v>
      </c>
      <c r="B39" t="s">
        <v>14</v>
      </c>
      <c r="C39" s="4">
        <v>29277</v>
      </c>
      <c r="F39" t="str">
        <v>Electronics</v>
      </c>
      <c r="G39" t="str">
        <v>Delhi</v>
      </c>
    </row>
    <row r="40" spans="1:7">
      <c r="A40" t="s">
        <v>17</v>
      </c>
      <c r="B40" t="s">
        <v>7</v>
      </c>
      <c r="C40" s="4">
        <v>44675</v>
      </c>
      <c r="F40" t="str">
        <v>Clothing</v>
      </c>
      <c r="G40" t="str">
        <v>Punjab</v>
      </c>
    </row>
    <row r="41" spans="1:7">
      <c r="A41" t="s">
        <v>17</v>
      </c>
      <c r="B41" t="s">
        <v>8</v>
      </c>
      <c r="C41" s="4">
        <v>42569</v>
      </c>
      <c r="F41" t="str">
        <v>Clothing</v>
      </c>
      <c r="G41" t="str">
        <v>Delhi</v>
      </c>
    </row>
    <row r="42" spans="1:7">
      <c r="A42" t="s">
        <v>17</v>
      </c>
      <c r="B42" t="s">
        <v>10</v>
      </c>
      <c r="C42" s="4">
        <v>43784</v>
      </c>
      <c r="F42" t="str">
        <v>Clothing</v>
      </c>
      <c r="G42" t="str">
        <v>Kerala</v>
      </c>
    </row>
    <row r="43" spans="1:7">
      <c r="A43" t="s">
        <v>17</v>
      </c>
      <c r="B43" t="s">
        <v>12</v>
      </c>
      <c r="C43" s="4">
        <v>46336</v>
      </c>
      <c r="F43" t="str">
        <v>Clothing</v>
      </c>
      <c r="G43" t="str">
        <v>Maharashtra</v>
      </c>
    </row>
    <row r="44" spans="1:7">
      <c r="A44" t="s">
        <v>17</v>
      </c>
      <c r="B44" t="s">
        <v>14</v>
      </c>
      <c r="C44" s="4">
        <v>49656</v>
      </c>
      <c r="F44" t="str">
        <v>Electronics</v>
      </c>
      <c r="G44" t="str">
        <v>Maharashtra</v>
      </c>
    </row>
    <row r="51" spans="1:16" ht="18">
      <c r="A51" s="1" t="s">
        <v>111</v>
      </c>
      <c r="B51" s="1"/>
      <c r="C51" s="1"/>
    </row>
    <row r="54" spans="1:16">
      <c r="A54" s="3" t="s">
        <v>3</v>
      </c>
      <c r="B54" t="s">
        <v>6</v>
      </c>
      <c r="C54" t="s">
        <v>6</v>
      </c>
      <c r="D54" t="s">
        <v>6</v>
      </c>
      <c r="E54" t="s">
        <v>6</v>
      </c>
      <c r="F54" t="s">
        <v>6</v>
      </c>
      <c r="G54" t="s">
        <v>16</v>
      </c>
      <c r="H54" t="s">
        <v>16</v>
      </c>
      <c r="I54" t="s">
        <v>16</v>
      </c>
      <c r="J54" t="s">
        <v>16</v>
      </c>
      <c r="K54" t="s">
        <v>16</v>
      </c>
      <c r="L54" t="s">
        <v>17</v>
      </c>
      <c r="M54" t="s">
        <v>17</v>
      </c>
      <c r="N54" t="s">
        <v>17</v>
      </c>
      <c r="O54" t="s">
        <v>17</v>
      </c>
      <c r="P54" t="s">
        <v>17</v>
      </c>
    </row>
    <row r="55" spans="1:16">
      <c r="A55" s="3" t="s">
        <v>4</v>
      </c>
      <c r="B55" t="s">
        <v>7</v>
      </c>
      <c r="C55" t="s">
        <v>8</v>
      </c>
      <c r="D55" t="s">
        <v>10</v>
      </c>
      <c r="E55" t="s">
        <v>12</v>
      </c>
      <c r="F55" t="s">
        <v>14</v>
      </c>
      <c r="G55" t="s">
        <v>7</v>
      </c>
      <c r="H55" t="s">
        <v>8</v>
      </c>
      <c r="I55" t="s">
        <v>10</v>
      </c>
      <c r="J55" t="s">
        <v>12</v>
      </c>
      <c r="K55" t="s">
        <v>14</v>
      </c>
      <c r="L55" t="s">
        <v>7</v>
      </c>
      <c r="M55" t="s">
        <v>8</v>
      </c>
      <c r="N55" t="s">
        <v>10</v>
      </c>
      <c r="O55" t="s">
        <v>12</v>
      </c>
      <c r="P55" t="s">
        <v>14</v>
      </c>
    </row>
    <row r="56" spans="1:16">
      <c r="A56" s="3" t="s">
        <v>5</v>
      </c>
      <c r="B56" s="4">
        <v>44196</v>
      </c>
      <c r="C56" s="4">
        <v>20898</v>
      </c>
      <c r="D56" s="4">
        <v>46994</v>
      </c>
      <c r="E56" s="4">
        <v>43695</v>
      </c>
      <c r="F56" s="4">
        <v>34196</v>
      </c>
      <c r="G56" s="4">
        <v>34155</v>
      </c>
      <c r="H56" s="4">
        <v>24396</v>
      </c>
      <c r="I56" s="4">
        <v>29276</v>
      </c>
      <c r="J56" s="4">
        <v>45540</v>
      </c>
      <c r="K56" s="4">
        <v>29277</v>
      </c>
      <c r="L56" s="4">
        <v>44675</v>
      </c>
      <c r="M56" s="4">
        <v>42569</v>
      </c>
      <c r="N56" s="4">
        <v>43784</v>
      </c>
      <c r="O56" s="4">
        <v>46336</v>
      </c>
      <c r="P56" s="4">
        <v>49656</v>
      </c>
    </row>
    <row r="58" spans="1:16">
      <c r="B58" s="5" t="s">
        <v>106</v>
      </c>
    </row>
    <row r="59" spans="1:16">
      <c r="B59" s="10" t="str" cm="1">
        <f t="array" ref="B59:M61">_xlfn._xlws.SORT(B54:M56,3,1,TRUE)</f>
        <v>Electronics</v>
      </c>
      <c r="C59" t="str">
        <v>Clothing</v>
      </c>
      <c r="D59" t="str">
        <v>Clothing</v>
      </c>
      <c r="E59" t="str">
        <v>Clothing</v>
      </c>
      <c r="F59" t="str">
        <v>Clothing</v>
      </c>
      <c r="G59" t="str">
        <v>Electronics</v>
      </c>
      <c r="H59" t="str">
        <v>Toys</v>
      </c>
      <c r="I59" t="str">
        <v>Electronics</v>
      </c>
      <c r="J59" t="str">
        <v>Electronics</v>
      </c>
      <c r="K59" t="str">
        <v>Toys</v>
      </c>
      <c r="L59" t="str">
        <v>Clothing</v>
      </c>
      <c r="M59" t="str">
        <v>Electronics</v>
      </c>
    </row>
    <row r="60" spans="1:16">
      <c r="B60" t="str">
        <v>Maharashtra</v>
      </c>
      <c r="C60" t="str">
        <v>Maharashtra</v>
      </c>
      <c r="D60" t="str">
        <v>Kerala</v>
      </c>
      <c r="E60" t="str">
        <v>Delhi</v>
      </c>
      <c r="F60" t="str">
        <v>Punjab</v>
      </c>
      <c r="G60" t="str">
        <v>Delhi</v>
      </c>
      <c r="H60" t="str">
        <v>Maharashtra</v>
      </c>
      <c r="I60" t="str">
        <v>Gujrat</v>
      </c>
      <c r="J60" t="str">
        <v>Punjab</v>
      </c>
      <c r="K60" t="str">
        <v>Punjab</v>
      </c>
      <c r="L60" t="str">
        <v>Gujrat</v>
      </c>
      <c r="M60" t="str">
        <v>Kerala</v>
      </c>
    </row>
    <row r="61" spans="1:16">
      <c r="B61">
        <v>20898</v>
      </c>
      <c r="C61">
        <v>24396</v>
      </c>
      <c r="D61">
        <v>29276</v>
      </c>
      <c r="E61">
        <v>29277</v>
      </c>
      <c r="F61">
        <v>34155</v>
      </c>
      <c r="G61">
        <v>34196</v>
      </c>
      <c r="H61">
        <v>42569</v>
      </c>
      <c r="I61">
        <v>43695</v>
      </c>
      <c r="J61">
        <v>44196</v>
      </c>
      <c r="K61">
        <v>44675</v>
      </c>
      <c r="L61">
        <v>45540</v>
      </c>
      <c r="M61">
        <v>46994</v>
      </c>
    </row>
    <row r="63" spans="1:16">
      <c r="B63" t="str" cm="1">
        <f t="array" ref="B63:D63">_xlfn.UNIQUE(B54:M54,TRUE,FALSE)</f>
        <v>Electronics</v>
      </c>
      <c r="C63" t="str">
        <v>Clothing</v>
      </c>
      <c r="D63" t="str">
        <v>Toys</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D456-92BC-4E9D-91AB-3676C575FF64}">
  <sheetPr codeName="Sheet7">
    <tabColor theme="2" tint="-0.249977111117893"/>
  </sheetPr>
  <dimension ref="A1:J49"/>
  <sheetViews>
    <sheetView topLeftCell="A26" zoomScale="115" zoomScaleNormal="115" workbookViewId="0">
      <selection activeCell="F34" sqref="F34"/>
    </sheetView>
  </sheetViews>
  <sheetFormatPr defaultRowHeight="14.45"/>
  <cols>
    <col min="1" max="1" width="21.140625" bestFit="1" customWidth="1"/>
    <col min="2" max="2" width="15.140625" customWidth="1"/>
    <col min="5" max="5" width="7.7109375" customWidth="1"/>
    <col min="6" max="6" width="17.28515625" customWidth="1"/>
    <col min="7" max="7" width="12.42578125" customWidth="1"/>
    <col min="8" max="8" width="21.28515625" bestFit="1" customWidth="1"/>
    <col min="9" max="9" width="11.7109375" customWidth="1"/>
  </cols>
  <sheetData>
    <row r="1" spans="1:10" ht="18">
      <c r="A1" s="1" t="s">
        <v>112</v>
      </c>
      <c r="B1" s="1"/>
      <c r="C1" s="1"/>
      <c r="D1" s="1"/>
      <c r="E1" s="1"/>
      <c r="F1" s="1"/>
      <c r="G1" s="25"/>
    </row>
    <row r="2" spans="1:10" ht="10.5" customHeight="1"/>
    <row r="3" spans="1:10">
      <c r="A3" s="5" t="s">
        <v>113</v>
      </c>
      <c r="F3" s="5" t="s">
        <v>114</v>
      </c>
      <c r="H3" s="55"/>
      <c r="J3" s="5"/>
    </row>
    <row r="4" spans="1:10">
      <c r="H4" s="56"/>
    </row>
    <row r="5" spans="1:10" ht="15" thickBot="1">
      <c r="A5" s="19" t="s">
        <v>3</v>
      </c>
      <c r="B5" s="19" t="s">
        <v>4</v>
      </c>
      <c r="C5" s="19" t="s">
        <v>5</v>
      </c>
      <c r="F5" s="20" t="s">
        <v>3</v>
      </c>
      <c r="H5" s="57"/>
    </row>
    <row r="6" spans="1:10">
      <c r="A6" t="s">
        <v>6</v>
      </c>
      <c r="B6" t="s">
        <v>7</v>
      </c>
      <c r="C6" s="4">
        <v>44196</v>
      </c>
      <c r="F6" s="10" t="str" cm="1">
        <f t="array" ref="F6:F9">_xlfn.UNIQUE(A6:A21,FALSE,FALSE)</f>
        <v>Electronics</v>
      </c>
      <c r="H6" s="56"/>
    </row>
    <row r="7" spans="1:10">
      <c r="A7" t="s">
        <v>6</v>
      </c>
      <c r="B7" t="s">
        <v>8</v>
      </c>
      <c r="C7" s="4">
        <v>20898</v>
      </c>
      <c r="F7" t="str">
        <v>Clothing</v>
      </c>
      <c r="H7" s="56"/>
    </row>
    <row r="8" spans="1:10">
      <c r="A8" t="s">
        <v>6</v>
      </c>
      <c r="B8" t="s">
        <v>10</v>
      </c>
      <c r="C8" s="4">
        <v>46994</v>
      </c>
      <c r="F8" t="str">
        <v>Toys</v>
      </c>
      <c r="H8" s="56"/>
    </row>
    <row r="9" spans="1:10">
      <c r="A9" t="s">
        <v>6</v>
      </c>
      <c r="B9" t="s">
        <v>12</v>
      </c>
      <c r="C9" s="4">
        <v>43695</v>
      </c>
      <c r="F9" t="str">
        <v>Snacks</v>
      </c>
      <c r="H9" s="56"/>
    </row>
    <row r="10" spans="1:10">
      <c r="A10" t="s">
        <v>6</v>
      </c>
      <c r="B10" t="s">
        <v>14</v>
      </c>
      <c r="C10" s="4">
        <v>34196</v>
      </c>
      <c r="H10" s="56"/>
    </row>
    <row r="11" spans="1:10">
      <c r="A11" t="s">
        <v>16</v>
      </c>
      <c r="B11" t="s">
        <v>7</v>
      </c>
      <c r="C11" s="4">
        <v>34155</v>
      </c>
      <c r="H11" s="56"/>
    </row>
    <row r="12" spans="1:10">
      <c r="A12" t="s">
        <v>16</v>
      </c>
      <c r="B12" t="s">
        <v>8</v>
      </c>
      <c r="C12" s="4">
        <v>24396</v>
      </c>
      <c r="H12" s="56"/>
    </row>
    <row r="13" spans="1:10">
      <c r="A13" t="s">
        <v>16</v>
      </c>
      <c r="B13" t="s">
        <v>10</v>
      </c>
      <c r="C13" s="4">
        <v>29276</v>
      </c>
      <c r="F13" s="5" t="s">
        <v>115</v>
      </c>
      <c r="H13" s="55"/>
    </row>
    <row r="14" spans="1:10">
      <c r="A14" t="s">
        <v>16</v>
      </c>
      <c r="B14" t="s">
        <v>12</v>
      </c>
      <c r="C14" s="4">
        <v>45540</v>
      </c>
      <c r="F14" s="10">
        <f>COUNTA(_xlfn.UNIQUE(A6:A21,FALSE,FALSE))</f>
        <v>4</v>
      </c>
      <c r="H14" s="56"/>
    </row>
    <row r="15" spans="1:10">
      <c r="A15" t="s">
        <v>16</v>
      </c>
      <c r="B15" t="s">
        <v>14</v>
      </c>
      <c r="C15" s="4">
        <v>29277</v>
      </c>
      <c r="H15" s="56"/>
    </row>
    <row r="16" spans="1:10">
      <c r="A16" t="s">
        <v>17</v>
      </c>
      <c r="B16" t="s">
        <v>7</v>
      </c>
      <c r="C16" s="4">
        <v>44675</v>
      </c>
      <c r="H16" s="56"/>
    </row>
    <row r="17" spans="1:8">
      <c r="A17" t="s">
        <v>17</v>
      </c>
      <c r="B17" t="s">
        <v>8</v>
      </c>
      <c r="C17" s="4">
        <v>42569</v>
      </c>
      <c r="H17" s="56"/>
    </row>
    <row r="18" spans="1:8">
      <c r="A18" t="s">
        <v>17</v>
      </c>
      <c r="B18" t="s">
        <v>10</v>
      </c>
      <c r="C18" s="4">
        <v>43784</v>
      </c>
    </row>
    <row r="19" spans="1:8">
      <c r="A19" t="s">
        <v>17</v>
      </c>
      <c r="B19" t="s">
        <v>12</v>
      </c>
      <c r="C19" s="4">
        <v>46336</v>
      </c>
    </row>
    <row r="20" spans="1:8">
      <c r="A20" t="s">
        <v>17</v>
      </c>
      <c r="B20" t="s">
        <v>14</v>
      </c>
      <c r="C20" s="4">
        <v>49656</v>
      </c>
    </row>
    <row r="21" spans="1:8">
      <c r="A21" t="s">
        <v>116</v>
      </c>
      <c r="B21" t="s">
        <v>12</v>
      </c>
      <c r="C21" s="4">
        <v>25000</v>
      </c>
    </row>
    <row r="23" spans="1:8">
      <c r="A23" s="2"/>
    </row>
    <row r="27" spans="1:8">
      <c r="A27" s="3" t="s">
        <v>3</v>
      </c>
      <c r="B27" s="3" t="s">
        <v>4</v>
      </c>
      <c r="F27" s="5" t="s">
        <v>117</v>
      </c>
    </row>
    <row r="28" spans="1:8">
      <c r="A28" t="s">
        <v>6</v>
      </c>
      <c r="B28" t="s">
        <v>7</v>
      </c>
      <c r="F28" t="str" cm="1">
        <f t="array" ref="F28">_xlfn.UNIQUE(TableDiv4[Department],FALSE,TRUE)</f>
        <v>Snacks</v>
      </c>
    </row>
    <row r="29" spans="1:8">
      <c r="A29" t="s">
        <v>6</v>
      </c>
      <c r="B29" t="s">
        <v>8</v>
      </c>
    </row>
    <row r="30" spans="1:8">
      <c r="A30" t="s">
        <v>6</v>
      </c>
      <c r="B30" t="s">
        <v>10</v>
      </c>
    </row>
    <row r="31" spans="1:8">
      <c r="A31" t="s">
        <v>6</v>
      </c>
      <c r="B31" t="s">
        <v>12</v>
      </c>
    </row>
    <row r="32" spans="1:8">
      <c r="A32" t="s">
        <v>6</v>
      </c>
      <c r="B32" t="s">
        <v>14</v>
      </c>
      <c r="F32" s="5" t="s">
        <v>118</v>
      </c>
    </row>
    <row r="33" spans="1:7">
      <c r="A33" t="s">
        <v>16</v>
      </c>
      <c r="B33" t="s">
        <v>7</v>
      </c>
      <c r="F33" s="21" t="s">
        <v>3</v>
      </c>
      <c r="G33" s="21" t="s">
        <v>4</v>
      </c>
    </row>
    <row r="34" spans="1:7">
      <c r="A34" t="s">
        <v>16</v>
      </c>
      <c r="B34" t="s">
        <v>8</v>
      </c>
      <c r="F34" t="str" cm="1">
        <f t="array" ref="F34:G49">_xlfn.UNIQUE(TableDiv4[],FALSE,FALSE)</f>
        <v>Electronics</v>
      </c>
      <c r="G34" t="str">
        <v>Punjab</v>
      </c>
    </row>
    <row r="35" spans="1:7">
      <c r="A35" t="s">
        <v>16</v>
      </c>
      <c r="B35" t="s">
        <v>10</v>
      </c>
      <c r="F35" t="str">
        <v>Electronics</v>
      </c>
      <c r="G35" t="str">
        <v>Maharashtra</v>
      </c>
    </row>
    <row r="36" spans="1:7">
      <c r="A36" t="s">
        <v>16</v>
      </c>
      <c r="B36" t="s">
        <v>12</v>
      </c>
      <c r="F36" t="str">
        <v>Electronics</v>
      </c>
      <c r="G36" t="str">
        <v>Kerala</v>
      </c>
    </row>
    <row r="37" spans="1:7">
      <c r="A37" t="s">
        <v>16</v>
      </c>
      <c r="B37" t="s">
        <v>14</v>
      </c>
      <c r="F37" t="str">
        <v>Electronics</v>
      </c>
      <c r="G37" t="str">
        <v>Gujrat</v>
      </c>
    </row>
    <row r="38" spans="1:7">
      <c r="A38" t="s">
        <v>17</v>
      </c>
      <c r="B38" t="s">
        <v>7</v>
      </c>
      <c r="F38" t="str">
        <v>Electronics</v>
      </c>
      <c r="G38" t="str">
        <v>Delhi</v>
      </c>
    </row>
    <row r="39" spans="1:7">
      <c r="A39" t="s">
        <v>17</v>
      </c>
      <c r="B39" t="s">
        <v>8</v>
      </c>
      <c r="F39" t="str">
        <v>Clothing</v>
      </c>
      <c r="G39" t="str">
        <v>Punjab</v>
      </c>
    </row>
    <row r="40" spans="1:7">
      <c r="A40" t="s">
        <v>17</v>
      </c>
      <c r="B40" t="s">
        <v>10</v>
      </c>
      <c r="F40" t="str">
        <v>Clothing</v>
      </c>
      <c r="G40" t="str">
        <v>Maharashtra</v>
      </c>
    </row>
    <row r="41" spans="1:7">
      <c r="A41" t="s">
        <v>17</v>
      </c>
      <c r="B41" t="s">
        <v>12</v>
      </c>
      <c r="F41" t="str">
        <v>Clothing</v>
      </c>
      <c r="G41" t="str">
        <v>Kerala</v>
      </c>
    </row>
    <row r="42" spans="1:7">
      <c r="A42" t="s">
        <v>17</v>
      </c>
      <c r="B42" t="s">
        <v>14</v>
      </c>
      <c r="F42" t="str">
        <v>Clothing</v>
      </c>
      <c r="G42" t="str">
        <v>Gujrat</v>
      </c>
    </row>
    <row r="43" spans="1:7">
      <c r="A43" t="s">
        <v>116</v>
      </c>
      <c r="B43" t="s">
        <v>12</v>
      </c>
      <c r="F43" t="str">
        <v>Clothing</v>
      </c>
      <c r="G43" t="str">
        <v>Delhi</v>
      </c>
    </row>
    <row r="44" spans="1:7">
      <c r="A44" t="s">
        <v>16</v>
      </c>
      <c r="B44" t="s">
        <v>7</v>
      </c>
      <c r="F44" t="str">
        <v>Toys</v>
      </c>
      <c r="G44" t="str">
        <v>Punjab</v>
      </c>
    </row>
    <row r="45" spans="1:7">
      <c r="A45" t="s">
        <v>16</v>
      </c>
      <c r="B45" t="s">
        <v>12</v>
      </c>
      <c r="F45" t="str">
        <v>Toys</v>
      </c>
      <c r="G45" t="str">
        <v>Maharashtra</v>
      </c>
    </row>
    <row r="46" spans="1:7">
      <c r="A46" t="s">
        <v>6</v>
      </c>
      <c r="B46" t="s">
        <v>10</v>
      </c>
      <c r="F46" t="str">
        <v>Toys</v>
      </c>
      <c r="G46" t="str">
        <v>Kerala</v>
      </c>
    </row>
    <row r="47" spans="1:7">
      <c r="A47" t="s">
        <v>6</v>
      </c>
      <c r="B47" t="s">
        <v>8</v>
      </c>
      <c r="F47" t="str">
        <v>Toys</v>
      </c>
      <c r="G47" t="str">
        <v>Gujrat</v>
      </c>
    </row>
    <row r="48" spans="1:7">
      <c r="F48" t="str">
        <v>Toys</v>
      </c>
      <c r="G48" t="str">
        <v>Delhi</v>
      </c>
    </row>
    <row r="49" spans="6:7">
      <c r="F49" t="str">
        <v>Snacks</v>
      </c>
      <c r="G49" t="str">
        <v>Gujrat</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67A6-063F-4785-82BA-0C6D758910F8}">
  <sheetPr codeName="Sheet8">
    <tabColor theme="2" tint="-0.249977111117893"/>
  </sheetPr>
  <dimension ref="A1:K22"/>
  <sheetViews>
    <sheetView zoomScale="115" zoomScaleNormal="115" workbookViewId="0">
      <selection activeCell="F13" sqref="F13:F15"/>
    </sheetView>
  </sheetViews>
  <sheetFormatPr defaultRowHeight="14.45"/>
  <cols>
    <col min="1" max="1" width="14.7109375" customWidth="1"/>
    <col min="2" max="2" width="14" bestFit="1" customWidth="1"/>
    <col min="3" max="3" width="8.7109375" bestFit="1" customWidth="1"/>
    <col min="6" max="6" width="24.140625" customWidth="1"/>
  </cols>
  <sheetData>
    <row r="1" spans="1:11" ht="18">
      <c r="A1" s="1" t="s">
        <v>119</v>
      </c>
      <c r="B1" s="1"/>
      <c r="C1" s="1"/>
      <c r="D1" s="1"/>
      <c r="E1" s="1"/>
      <c r="F1" s="1"/>
      <c r="G1" s="25"/>
    </row>
    <row r="3" spans="1:11">
      <c r="F3" s="5" t="s">
        <v>120</v>
      </c>
    </row>
    <row r="4" spans="1:11" ht="15" thickBot="1">
      <c r="A4" s="19" t="s">
        <v>3</v>
      </c>
      <c r="B4" s="19" t="s">
        <v>4</v>
      </c>
      <c r="C4" s="19" t="s">
        <v>5</v>
      </c>
    </row>
    <row r="5" spans="1:11" ht="15" thickBot="1">
      <c r="A5" t="s">
        <v>6</v>
      </c>
      <c r="B5" t="s">
        <v>7</v>
      </c>
      <c r="C5" s="4">
        <v>44196</v>
      </c>
      <c r="G5" s="20" t="s">
        <v>5</v>
      </c>
      <c r="J5" t="str" cm="1">
        <f t="array" ref="J5:K7">_xlfn._xlws.SORT(F6:G8,2,-1,FALSE)</f>
        <v>Toys</v>
      </c>
      <c r="K5">
        <v>227020</v>
      </c>
    </row>
    <row r="6" spans="1:11" ht="15">
      <c r="A6" t="s">
        <v>6</v>
      </c>
      <c r="B6" t="s">
        <v>8</v>
      </c>
      <c r="C6" s="4">
        <v>20898</v>
      </c>
      <c r="F6" s="77" t="str" cm="1">
        <f t="array" ref="F6:F8">_xlfn.UNIQUE(A5:A19,FALSE,FALSE)</f>
        <v>Electronics</v>
      </c>
      <c r="G6" s="28">
        <f>SUMIF($A$5:$A$19,F6,$C$5:C$19)</f>
        <v>189979</v>
      </c>
      <c r="J6" t="str">
        <v>Electronics</v>
      </c>
      <c r="K6">
        <v>189979</v>
      </c>
    </row>
    <row r="7" spans="1:11">
      <c r="A7" t="s">
        <v>6</v>
      </c>
      <c r="B7" t="s">
        <v>10</v>
      </c>
      <c r="C7" s="4">
        <v>46994</v>
      </c>
      <c r="F7" t="str">
        <v>clothing</v>
      </c>
      <c r="G7" s="28">
        <f>SUMIF($A$5:$A$19,F7,$C$5:C$19)</f>
        <v>162644</v>
      </c>
      <c r="J7" t="str">
        <v>clothing</v>
      </c>
      <c r="K7">
        <v>162644</v>
      </c>
    </row>
    <row r="8" spans="1:11">
      <c r="A8" t="s">
        <v>6</v>
      </c>
      <c r="B8" t="s">
        <v>12</v>
      </c>
      <c r="C8" s="4">
        <v>43695</v>
      </c>
      <c r="F8" t="str">
        <v>Toys</v>
      </c>
      <c r="G8" s="28">
        <f>SUMIF($A$5:$A$19,F8,$C$5:C$19)</f>
        <v>227020</v>
      </c>
    </row>
    <row r="9" spans="1:11">
      <c r="A9" t="s">
        <v>6</v>
      </c>
      <c r="B9" t="s">
        <v>14</v>
      </c>
      <c r="C9" s="4">
        <v>34196</v>
      </c>
      <c r="G9" s="29"/>
    </row>
    <row r="10" spans="1:11">
      <c r="A10" t="s">
        <v>121</v>
      </c>
      <c r="B10" t="s">
        <v>7</v>
      </c>
      <c r="C10" s="4">
        <v>34155</v>
      </c>
      <c r="F10" s="5" t="s">
        <v>122</v>
      </c>
    </row>
    <row r="11" spans="1:11">
      <c r="A11" t="s">
        <v>16</v>
      </c>
      <c r="B11" t="s">
        <v>8</v>
      </c>
      <c r="C11" s="4">
        <v>24396</v>
      </c>
    </row>
    <row r="12" spans="1:11" ht="15">
      <c r="A12" t="s">
        <v>16</v>
      </c>
      <c r="B12" t="s">
        <v>10</v>
      </c>
      <c r="C12" s="4">
        <v>29276</v>
      </c>
      <c r="F12" s="78" t="str" cm="1">
        <f t="array" ref="F12:H15">_xlfn._xlws.FILTER(A5:C19,C5:C19&lt;30000,"Not Found")</f>
        <v>Electronics</v>
      </c>
      <c r="G12" t="str">
        <v>Maharashtra</v>
      </c>
      <c r="H12">
        <v>20898</v>
      </c>
      <c r="J12" t="str" cm="1">
        <f t="array" ref="J12:J13">_xlfn.UNIQUE(_xlfn._xlws.FILTER(A5:A19,C5:C19&lt;30000,"Not Found"))</f>
        <v>Electronics</v>
      </c>
    </row>
    <row r="13" spans="1:11">
      <c r="A13" t="s">
        <v>16</v>
      </c>
      <c r="B13" t="s">
        <v>12</v>
      </c>
      <c r="C13" s="4">
        <v>45540</v>
      </c>
      <c r="F13" t="str">
        <v>Clothing</v>
      </c>
      <c r="G13" t="str">
        <v>Maharashtra</v>
      </c>
      <c r="H13">
        <v>24396</v>
      </c>
      <c r="J13" t="str">
        <v>Clothing</v>
      </c>
    </row>
    <row r="14" spans="1:11">
      <c r="A14" t="s">
        <v>16</v>
      </c>
      <c r="B14" t="s">
        <v>14</v>
      </c>
      <c r="C14" s="4">
        <v>29277</v>
      </c>
      <c r="F14" t="str">
        <v>Clothing</v>
      </c>
      <c r="G14" t="str">
        <v>Kerala</v>
      </c>
      <c r="H14">
        <v>29276</v>
      </c>
    </row>
    <row r="15" spans="1:11">
      <c r="A15" t="s">
        <v>17</v>
      </c>
      <c r="B15" t="s">
        <v>7</v>
      </c>
      <c r="C15" s="4">
        <v>44675</v>
      </c>
      <c r="F15" t="str">
        <v>Clothing</v>
      </c>
      <c r="G15" t="str">
        <v>Delhi</v>
      </c>
      <c r="H15">
        <v>29277</v>
      </c>
    </row>
    <row r="16" spans="1:11">
      <c r="A16" t="s">
        <v>17</v>
      </c>
      <c r="B16" t="s">
        <v>8</v>
      </c>
      <c r="C16" s="4">
        <v>42569</v>
      </c>
      <c r="F16" s="5" t="s">
        <v>123</v>
      </c>
    </row>
    <row r="17" spans="1:6">
      <c r="A17" t="s">
        <v>17</v>
      </c>
      <c r="B17" t="s">
        <v>10</v>
      </c>
      <c r="C17" s="4">
        <v>43784</v>
      </c>
    </row>
    <row r="18" spans="1:6">
      <c r="A18" t="s">
        <v>17</v>
      </c>
      <c r="B18" t="s">
        <v>12</v>
      </c>
      <c r="C18" s="4">
        <v>46336</v>
      </c>
      <c r="F18" s="10" t="str" cm="1">
        <f t="array" ref="F18:F19">_xlfn.UNIQUE(_xlfn._xlws.FILTER(A5:A19,(C5:C19&lt;30000)*(A5:A19&lt;&gt;"")))</f>
        <v>Electronics</v>
      </c>
    </row>
    <row r="19" spans="1:6">
      <c r="A19" t="s">
        <v>17</v>
      </c>
      <c r="B19" t="s">
        <v>14</v>
      </c>
      <c r="C19" s="4">
        <v>49656</v>
      </c>
      <c r="F19" t="str">
        <v>Clothing</v>
      </c>
    </row>
    <row r="20" spans="1:6">
      <c r="C20" s="4"/>
    </row>
    <row r="22" spans="1:6" ht="15">
      <c r="A22" s="79" t="s">
        <v>124</v>
      </c>
      <c r="C22"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90186-C4BA-4AC9-8291-CED2BEEF8E8C}">
  <dimension ref="A1:F29"/>
  <sheetViews>
    <sheetView topLeftCell="A10" workbookViewId="0">
      <selection activeCell="F27" sqref="F27"/>
    </sheetView>
  </sheetViews>
  <sheetFormatPr defaultRowHeight="15"/>
  <cols>
    <col min="3" max="3" width="33.140625" bestFit="1" customWidth="1"/>
    <col min="5" max="5" width="13.140625" bestFit="1" customWidth="1"/>
    <col min="6" max="6" width="23.5703125" bestFit="1" customWidth="1"/>
  </cols>
  <sheetData>
    <row r="1" spans="1:4">
      <c r="A1" t="s">
        <v>6</v>
      </c>
    </row>
    <row r="2" spans="1:4">
      <c r="A2" t="s">
        <v>6</v>
      </c>
    </row>
    <row r="3" spans="1:4">
      <c r="A3" t="s">
        <v>6</v>
      </c>
      <c r="C3" t="str">
        <f ca="1">OFFSET(A1,COUNTA(A:A)-1,0)</f>
        <v>Rahulk</v>
      </c>
      <c r="D3" t="e" cm="1">
        <f t="array" aca="1" ref="D3" ca="1">INDIRECT(D18,FALSE)</f>
        <v>#REF!</v>
      </c>
    </row>
    <row r="4" spans="1:4">
      <c r="A4" t="s">
        <v>6</v>
      </c>
    </row>
    <row r="5" spans="1:4">
      <c r="A5" t="s">
        <v>6</v>
      </c>
    </row>
    <row r="6" spans="1:4">
      <c r="A6" t="s">
        <v>121</v>
      </c>
    </row>
    <row r="7" spans="1:4">
      <c r="A7" t="s">
        <v>16</v>
      </c>
    </row>
    <row r="8" spans="1:4">
      <c r="A8" t="s">
        <v>16</v>
      </c>
    </row>
    <row r="9" spans="1:4">
      <c r="A9" t="s">
        <v>16</v>
      </c>
    </row>
    <row r="10" spans="1:4">
      <c r="A10" t="s">
        <v>16</v>
      </c>
    </row>
    <row r="11" spans="1:4">
      <c r="A11" t="s">
        <v>17</v>
      </c>
    </row>
    <row r="12" spans="1:4">
      <c r="A12" t="s">
        <v>17</v>
      </c>
    </row>
    <row r="13" spans="1:4">
      <c r="A13" t="s">
        <v>17</v>
      </c>
    </row>
    <row r="14" spans="1:4">
      <c r="A14" t="s">
        <v>17</v>
      </c>
    </row>
    <row r="15" spans="1:4">
      <c r="A15" t="s">
        <v>17</v>
      </c>
    </row>
    <row r="16" spans="1:4">
      <c r="A16" t="s">
        <v>125</v>
      </c>
    </row>
    <row r="18" spans="1:6">
      <c r="A18" t="s">
        <v>126</v>
      </c>
      <c r="B18" t="s">
        <v>127</v>
      </c>
      <c r="C18" t="s">
        <v>128</v>
      </c>
      <c r="D18" t="s">
        <v>129</v>
      </c>
      <c r="E18" t="s">
        <v>130</v>
      </c>
    </row>
    <row r="19" spans="1:6">
      <c r="C19" t="str">
        <f ca="1">OFFSET(A18,0,COUNTA(18:18)-1)</f>
        <v>may</v>
      </c>
    </row>
    <row r="21" spans="1:6">
      <c r="A21" t="s">
        <v>131</v>
      </c>
      <c r="B21" t="s">
        <v>132</v>
      </c>
      <c r="C21" t="s">
        <v>133</v>
      </c>
    </row>
    <row r="22" spans="1:6">
      <c r="A22">
        <v>80</v>
      </c>
      <c r="B22">
        <v>65</v>
      </c>
      <c r="C22">
        <v>75</v>
      </c>
    </row>
    <row r="23" spans="1:6">
      <c r="A23">
        <v>45</v>
      </c>
      <c r="B23">
        <v>70</v>
      </c>
      <c r="C23">
        <v>65</v>
      </c>
    </row>
    <row r="24" spans="1:6">
      <c r="A24">
        <v>80</v>
      </c>
      <c r="B24">
        <v>80</v>
      </c>
      <c r="C24">
        <v>12</v>
      </c>
    </row>
    <row r="27" spans="1:6">
      <c r="E27" t="s">
        <v>134</v>
      </c>
      <c r="F27" t="s">
        <v>131</v>
      </c>
    </row>
    <row r="28" spans="1:6">
      <c r="E28" t="s">
        <v>135</v>
      </c>
      <c r="F28">
        <f ca="1">AVERAGE(INDIRECT(F27))</f>
        <v>68.333333333333329</v>
      </c>
    </row>
    <row r="29" spans="1:6">
      <c r="E29" t="s">
        <v>136</v>
      </c>
      <c r="F29">
        <f ca="1">SUM(INDIRECT(F27))</f>
        <v>205</v>
      </c>
    </row>
  </sheetData>
  <dataValidations count="1">
    <dataValidation type="list" allowBlank="1" showInputMessage="1" showErrorMessage="1" sqref="F27" xr:uid="{8FAB93F7-817F-420D-BAEE-BE349662AC00}">
      <formula1>$A$21:$C$21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F3C5-9B44-4940-B67F-B3AA99DF4999}">
  <sheetPr codeName="Sheet9">
    <tabColor theme="2" tint="-0.249977111117893"/>
  </sheetPr>
  <dimension ref="A1:G31"/>
  <sheetViews>
    <sheetView zoomScale="115" zoomScaleNormal="115" workbookViewId="0">
      <selection activeCell="E18" sqref="E18"/>
    </sheetView>
  </sheetViews>
  <sheetFormatPr defaultRowHeight="14.45"/>
  <cols>
    <col min="1" max="1" width="10.7109375" bestFit="1" customWidth="1"/>
    <col min="2" max="2" width="11.28515625" bestFit="1" customWidth="1"/>
    <col min="5" max="5" width="10.140625" customWidth="1"/>
  </cols>
  <sheetData>
    <row r="1" spans="1:7" ht="18">
      <c r="A1" s="1" t="s">
        <v>137</v>
      </c>
      <c r="B1" s="1"/>
      <c r="C1" s="1"/>
      <c r="D1" s="1"/>
      <c r="E1" s="1"/>
      <c r="F1" s="1"/>
      <c r="G1" s="25"/>
    </row>
    <row r="3" spans="1:7">
      <c r="A3" s="5" t="s">
        <v>138</v>
      </c>
    </row>
    <row r="5" spans="1:7">
      <c r="A5" s="5" t="s">
        <v>139</v>
      </c>
    </row>
    <row r="7" spans="1:7">
      <c r="A7" s="10"/>
      <c r="C7" s="10"/>
    </row>
    <row r="14" spans="1:7">
      <c r="A14" s="5" t="s">
        <v>140</v>
      </c>
      <c r="E14" s="5" t="s">
        <v>141</v>
      </c>
    </row>
    <row r="16" spans="1:7">
      <c r="A16" s="42"/>
      <c r="B16" s="28"/>
      <c r="E16" s="10"/>
    </row>
    <row r="17" spans="1:2">
      <c r="A17" s="29"/>
      <c r="B17" s="29"/>
    </row>
    <row r="18" spans="1:2">
      <c r="A18" s="29"/>
      <c r="B18" s="29"/>
    </row>
    <row r="19" spans="1:2">
      <c r="A19" s="29"/>
      <c r="B19" s="29"/>
    </row>
    <row r="20" spans="1:2">
      <c r="A20" s="29"/>
      <c r="B20" s="29"/>
    </row>
    <row r="21" spans="1:2">
      <c r="A21" s="29"/>
      <c r="B21" s="29"/>
    </row>
    <row r="22" spans="1:2">
      <c r="A22" s="29"/>
      <c r="B22" s="29"/>
    </row>
    <row r="23" spans="1:2">
      <c r="A23" s="29"/>
      <c r="B23" s="29"/>
    </row>
    <row r="24" spans="1:2">
      <c r="A24" s="29"/>
      <c r="B24" s="29"/>
    </row>
    <row r="25" spans="1:2">
      <c r="A25" s="29"/>
      <c r="B25" s="29"/>
    </row>
    <row r="26" spans="1:2">
      <c r="A26" s="29"/>
      <c r="B26" s="29"/>
    </row>
    <row r="27" spans="1:2">
      <c r="A27" s="29"/>
      <c r="B27" s="29"/>
    </row>
    <row r="28" spans="1:2">
      <c r="A28" s="29"/>
      <c r="B28" s="29"/>
    </row>
    <row r="29" spans="1:2">
      <c r="A29" s="29"/>
      <c r="B29" s="29"/>
    </row>
    <row r="30" spans="1:2">
      <c r="A30" s="29"/>
      <c r="B30" s="29"/>
    </row>
    <row r="31" spans="1:2">
      <c r="A31" s="29"/>
      <c r="B31" s="2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0" tint="-0.34998626667073579"/>
  </sheetPr>
  <dimension ref="A1:L56"/>
  <sheetViews>
    <sheetView showGridLines="0" zoomScale="115" zoomScaleNormal="115" workbookViewId="0">
      <selection activeCell="E8" sqref="E8"/>
    </sheetView>
  </sheetViews>
  <sheetFormatPr defaultRowHeight="14.45"/>
  <cols>
    <col min="1" max="1" width="10.7109375" customWidth="1"/>
    <col min="2" max="2" width="15.5703125" bestFit="1" customWidth="1"/>
    <col min="3" max="3" width="10.28515625" customWidth="1"/>
    <col min="5" max="5" width="14.7109375" bestFit="1" customWidth="1"/>
    <col min="6" max="6" width="9.7109375" customWidth="1"/>
  </cols>
  <sheetData>
    <row r="1" spans="1:12" ht="18">
      <c r="A1" s="1" t="s">
        <v>142</v>
      </c>
      <c r="B1" s="1"/>
      <c r="C1" s="1"/>
      <c r="D1" s="1"/>
      <c r="E1" s="1"/>
      <c r="F1" s="1"/>
      <c r="G1" s="26"/>
      <c r="H1" s="2"/>
      <c r="I1" s="2"/>
      <c r="J1" s="2"/>
      <c r="L1" s="17" t="b">
        <v>0</v>
      </c>
    </row>
    <row r="2" spans="1:12">
      <c r="L2" s="17" t="b">
        <v>0</v>
      </c>
    </row>
    <row r="3" spans="1:12">
      <c r="A3" s="16">
        <v>1</v>
      </c>
      <c r="B3" s="16" t="s">
        <v>143</v>
      </c>
      <c r="C3" s="16"/>
      <c r="D3" s="16"/>
      <c r="E3" s="16"/>
      <c r="F3" s="16"/>
      <c r="G3" s="16"/>
      <c r="H3" s="16"/>
      <c r="I3" s="16"/>
      <c r="J3" s="16"/>
      <c r="K3" s="16"/>
      <c r="L3" s="17" t="b">
        <v>0</v>
      </c>
    </row>
    <row r="4" spans="1:12">
      <c r="A4" s="16">
        <v>2</v>
      </c>
      <c r="B4" s="16" t="s">
        <v>144</v>
      </c>
      <c r="C4" s="16"/>
      <c r="D4" s="16"/>
      <c r="E4" s="16"/>
      <c r="F4" s="16"/>
      <c r="G4" s="16"/>
      <c r="H4" s="16"/>
      <c r="I4" s="16"/>
      <c r="K4" s="16"/>
    </row>
    <row r="5" spans="1:12" ht="14.45" customHeight="1">
      <c r="A5" s="16">
        <v>3</v>
      </c>
      <c r="B5" s="16" t="s">
        <v>145</v>
      </c>
      <c r="C5" s="16"/>
      <c r="D5" s="16"/>
      <c r="E5" s="16"/>
      <c r="F5" s="16"/>
      <c r="G5" s="16"/>
      <c r="H5" s="16"/>
      <c r="I5" s="16"/>
      <c r="J5" s="18" t="s">
        <v>146</v>
      </c>
      <c r="K5" s="16"/>
    </row>
    <row r="7" spans="1:12" ht="15" thickBot="1">
      <c r="A7" s="19" t="s">
        <v>147</v>
      </c>
      <c r="B7" s="19" t="s">
        <v>148</v>
      </c>
      <c r="C7" s="19" t="s">
        <v>149</v>
      </c>
      <c r="E7" s="20" t="s">
        <v>148</v>
      </c>
      <c r="F7" s="20" t="s">
        <v>149</v>
      </c>
    </row>
    <row r="8" spans="1:12">
      <c r="A8" s="11">
        <v>43466</v>
      </c>
      <c r="B8" t="s">
        <v>36</v>
      </c>
      <c r="C8">
        <v>5</v>
      </c>
      <c r="E8" s="10"/>
      <c r="F8" s="10"/>
    </row>
    <row r="9" spans="1:12">
      <c r="A9" s="11">
        <v>43470</v>
      </c>
      <c r="B9" t="s">
        <v>47</v>
      </c>
      <c r="C9">
        <v>6</v>
      </c>
    </row>
    <row r="10" spans="1:12">
      <c r="A10" s="11">
        <v>43474</v>
      </c>
      <c r="B10" t="s">
        <v>29</v>
      </c>
      <c r="C10">
        <v>1</v>
      </c>
    </row>
    <row r="11" spans="1:12">
      <c r="A11" s="11">
        <v>43477</v>
      </c>
      <c r="B11" t="s">
        <v>77</v>
      </c>
      <c r="C11">
        <v>9</v>
      </c>
    </row>
    <row r="12" spans="1:12">
      <c r="A12" s="11">
        <v>43482</v>
      </c>
      <c r="B12" t="s">
        <v>32</v>
      </c>
      <c r="C12">
        <v>2</v>
      </c>
    </row>
    <row r="13" spans="1:12">
      <c r="A13" s="11">
        <v>43485</v>
      </c>
      <c r="B13" t="s">
        <v>47</v>
      </c>
      <c r="C13">
        <v>3</v>
      </c>
    </row>
    <row r="14" spans="1:12">
      <c r="A14" s="11">
        <v>43490</v>
      </c>
      <c r="B14" t="s">
        <v>63</v>
      </c>
      <c r="C14">
        <v>4</v>
      </c>
    </row>
    <row r="15" spans="1:12">
      <c r="A15" s="11">
        <v>43492</v>
      </c>
      <c r="B15" t="s">
        <v>81</v>
      </c>
      <c r="C15">
        <v>9</v>
      </c>
    </row>
    <row r="16" spans="1:12">
      <c r="A16" s="11">
        <v>43493</v>
      </c>
      <c r="B16" t="s">
        <v>32</v>
      </c>
      <c r="C16">
        <v>10</v>
      </c>
    </row>
    <row r="17" spans="1:3">
      <c r="A17" s="11">
        <v>43498</v>
      </c>
      <c r="B17" t="s">
        <v>51</v>
      </c>
      <c r="C17">
        <v>7</v>
      </c>
    </row>
    <row r="18" spans="1:3">
      <c r="A18" s="11">
        <v>43501</v>
      </c>
      <c r="B18" t="s">
        <v>81</v>
      </c>
      <c r="C18">
        <v>10</v>
      </c>
    </row>
    <row r="19" spans="1:3">
      <c r="A19" s="11">
        <v>43505</v>
      </c>
      <c r="B19" t="s">
        <v>77</v>
      </c>
      <c r="C19">
        <v>8</v>
      </c>
    </row>
    <row r="20" spans="1:3">
      <c r="A20" s="11">
        <v>43509</v>
      </c>
      <c r="B20" t="s">
        <v>32</v>
      </c>
      <c r="C20">
        <v>10</v>
      </c>
    </row>
    <row r="21" spans="1:3">
      <c r="A21" s="11">
        <v>43515</v>
      </c>
      <c r="B21" t="s">
        <v>36</v>
      </c>
      <c r="C21">
        <v>4</v>
      </c>
    </row>
    <row r="22" spans="1:3">
      <c r="A22" s="11">
        <v>43520</v>
      </c>
      <c r="B22" t="s">
        <v>36</v>
      </c>
      <c r="C22">
        <v>9</v>
      </c>
    </row>
    <row r="23" spans="1:3">
      <c r="A23" s="11">
        <v>43525</v>
      </c>
      <c r="B23" t="s">
        <v>63</v>
      </c>
      <c r="C23">
        <v>8</v>
      </c>
    </row>
    <row r="24" spans="1:3">
      <c r="A24" s="11">
        <v>43530</v>
      </c>
      <c r="B24" t="s">
        <v>51</v>
      </c>
      <c r="C24">
        <v>3</v>
      </c>
    </row>
    <row r="25" spans="1:3">
      <c r="A25" s="11">
        <v>43532</v>
      </c>
      <c r="B25" t="s">
        <v>51</v>
      </c>
      <c r="C25">
        <v>10</v>
      </c>
    </row>
    <row r="26" spans="1:3">
      <c r="A26" s="11">
        <v>43533</v>
      </c>
      <c r="B26" t="s">
        <v>51</v>
      </c>
      <c r="C26">
        <v>4</v>
      </c>
    </row>
    <row r="27" spans="1:3">
      <c r="A27" s="11">
        <v>43534</v>
      </c>
      <c r="B27" t="s">
        <v>55</v>
      </c>
      <c r="C27">
        <v>4</v>
      </c>
    </row>
    <row r="28" spans="1:3">
      <c r="A28" s="11">
        <v>43539</v>
      </c>
      <c r="B28" t="s">
        <v>81</v>
      </c>
      <c r="C28">
        <v>5</v>
      </c>
    </row>
    <row r="29" spans="1:3">
      <c r="A29" s="11">
        <v>43541</v>
      </c>
      <c r="B29" t="s">
        <v>47</v>
      </c>
      <c r="C29">
        <v>8</v>
      </c>
    </row>
    <row r="30" spans="1:3">
      <c r="A30" s="11">
        <v>43547</v>
      </c>
      <c r="B30" t="s">
        <v>32</v>
      </c>
      <c r="C30">
        <v>8</v>
      </c>
    </row>
    <row r="31" spans="1:3">
      <c r="A31" s="11">
        <v>43549</v>
      </c>
      <c r="B31" t="s">
        <v>36</v>
      </c>
      <c r="C31">
        <v>8</v>
      </c>
    </row>
    <row r="32" spans="1:3">
      <c r="A32" s="11">
        <v>43553</v>
      </c>
      <c r="B32" t="s">
        <v>29</v>
      </c>
      <c r="C32">
        <v>10</v>
      </c>
    </row>
    <row r="33" spans="1:3">
      <c r="A33" s="11">
        <v>43558</v>
      </c>
      <c r="B33" t="s">
        <v>29</v>
      </c>
      <c r="C33">
        <v>3</v>
      </c>
    </row>
    <row r="34" spans="1:3">
      <c r="A34" s="11">
        <v>43561</v>
      </c>
      <c r="B34" t="s">
        <v>29</v>
      </c>
      <c r="C34">
        <v>8</v>
      </c>
    </row>
    <row r="35" spans="1:3">
      <c r="A35" s="11">
        <v>43563</v>
      </c>
      <c r="B35" t="s">
        <v>36</v>
      </c>
      <c r="C35">
        <v>11</v>
      </c>
    </row>
    <row r="36" spans="1:3">
      <c r="A36" s="11">
        <v>43565</v>
      </c>
      <c r="B36" t="s">
        <v>81</v>
      </c>
      <c r="C36">
        <v>10</v>
      </c>
    </row>
    <row r="37" spans="1:3">
      <c r="A37" s="11">
        <v>43570</v>
      </c>
      <c r="B37" t="s">
        <v>55</v>
      </c>
      <c r="C37">
        <v>9</v>
      </c>
    </row>
    <row r="38" spans="1:3">
      <c r="A38" s="11">
        <v>43571</v>
      </c>
      <c r="B38" t="s">
        <v>29</v>
      </c>
      <c r="C38">
        <v>11</v>
      </c>
    </row>
    <row r="39" spans="1:3">
      <c r="A39" s="11">
        <v>43577</v>
      </c>
      <c r="B39" t="s">
        <v>51</v>
      </c>
      <c r="C39">
        <v>8</v>
      </c>
    </row>
    <row r="40" spans="1:3">
      <c r="A40" s="11">
        <v>43581</v>
      </c>
      <c r="B40" t="s">
        <v>81</v>
      </c>
      <c r="C40">
        <v>7</v>
      </c>
    </row>
    <row r="41" spans="1:3">
      <c r="A41" s="11">
        <v>43582</v>
      </c>
      <c r="B41" t="s">
        <v>47</v>
      </c>
      <c r="C41">
        <v>8</v>
      </c>
    </row>
    <row r="42" spans="1:3">
      <c r="A42" s="11">
        <v>43584</v>
      </c>
      <c r="B42" t="s">
        <v>47</v>
      </c>
      <c r="C42">
        <v>7</v>
      </c>
    </row>
    <row r="43" spans="1:3">
      <c r="A43" s="11">
        <v>43590</v>
      </c>
      <c r="B43" t="s">
        <v>47</v>
      </c>
      <c r="C43">
        <v>6</v>
      </c>
    </row>
    <row r="44" spans="1:3">
      <c r="A44" s="11">
        <v>43591</v>
      </c>
      <c r="B44" t="s">
        <v>29</v>
      </c>
      <c r="C44">
        <v>9</v>
      </c>
    </row>
    <row r="45" spans="1:3">
      <c r="A45" s="11">
        <v>43596</v>
      </c>
      <c r="B45" t="s">
        <v>32</v>
      </c>
      <c r="C45">
        <v>9</v>
      </c>
    </row>
    <row r="46" spans="1:3">
      <c r="A46" s="11">
        <v>43597</v>
      </c>
      <c r="B46" t="s">
        <v>32</v>
      </c>
      <c r="C46">
        <v>8</v>
      </c>
    </row>
    <row r="47" spans="1:3">
      <c r="A47" s="11">
        <v>43601</v>
      </c>
      <c r="B47" t="s">
        <v>55</v>
      </c>
      <c r="C47">
        <v>11</v>
      </c>
    </row>
    <row r="48" spans="1:3">
      <c r="A48" s="11">
        <v>43604</v>
      </c>
      <c r="B48" t="s">
        <v>47</v>
      </c>
      <c r="C48">
        <v>5</v>
      </c>
    </row>
    <row r="49" spans="1:3">
      <c r="A49" s="11">
        <v>43609</v>
      </c>
      <c r="B49" t="s">
        <v>29</v>
      </c>
      <c r="C49">
        <v>6</v>
      </c>
    </row>
    <row r="50" spans="1:3">
      <c r="A50" s="11">
        <v>43615</v>
      </c>
      <c r="B50" t="s">
        <v>32</v>
      </c>
      <c r="C50">
        <v>8</v>
      </c>
    </row>
    <row r="51" spans="1:3">
      <c r="A51" s="11">
        <v>43618</v>
      </c>
      <c r="B51" t="s">
        <v>29</v>
      </c>
      <c r="C51">
        <v>8</v>
      </c>
    </row>
    <row r="52" spans="1:3">
      <c r="A52" s="11">
        <v>43622</v>
      </c>
      <c r="B52" t="s">
        <v>55</v>
      </c>
      <c r="C52">
        <v>9</v>
      </c>
    </row>
    <row r="53" spans="1:3">
      <c r="A53" s="11">
        <v>43625</v>
      </c>
      <c r="B53" t="s">
        <v>29</v>
      </c>
      <c r="C53">
        <v>7</v>
      </c>
    </row>
    <row r="54" spans="1:3">
      <c r="A54" s="11">
        <v>43626</v>
      </c>
      <c r="B54" t="s">
        <v>51</v>
      </c>
      <c r="C54">
        <v>3</v>
      </c>
    </row>
    <row r="55" spans="1:3">
      <c r="A55" s="11">
        <v>43630</v>
      </c>
      <c r="B55" t="s">
        <v>63</v>
      </c>
      <c r="C55">
        <v>8</v>
      </c>
    </row>
    <row r="56" spans="1:3">
      <c r="A56" s="11">
        <v>43634</v>
      </c>
      <c r="B56" t="s">
        <v>32</v>
      </c>
      <c r="C56">
        <v>10</v>
      </c>
    </row>
  </sheetData>
  <conditionalFormatting sqref="J5">
    <cfRule type="expression" dxfId="0" priority="1">
      <formula>AND($L$1,$L$2,$L$3)</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7</xdr:col>
                    <xdr:colOff>15240</xdr:colOff>
                    <xdr:row>1</xdr:row>
                    <xdr:rowOff>175260</xdr:rowOff>
                  </from>
                  <to>
                    <xdr:col>8</xdr:col>
                    <xdr:colOff>228600</xdr:colOff>
                    <xdr:row>3</xdr:row>
                    <xdr:rowOff>30480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7</xdr:col>
                    <xdr:colOff>15240</xdr:colOff>
                    <xdr:row>3</xdr:row>
                    <xdr:rowOff>15240</xdr:rowOff>
                  </from>
                  <to>
                    <xdr:col>8</xdr:col>
                    <xdr:colOff>228600</xdr:colOff>
                    <xdr:row>4</xdr:row>
                    <xdr:rowOff>53340</xdr:rowOff>
                  </to>
                </anchor>
              </controlPr>
            </control>
          </mc:Choice>
        </mc:AlternateContent>
        <mc:AlternateContent xmlns:mc="http://schemas.openxmlformats.org/markup-compatibility/2006">
          <mc:Choice Requires="x14">
            <control shapeId="7171" r:id="rId6" name="Check Box 3">
              <controlPr defaultSize="0" autoFill="0" autoLine="0" autoPict="0">
                <anchor moveWithCells="1">
                  <from>
                    <xdr:col>7</xdr:col>
                    <xdr:colOff>15240</xdr:colOff>
                    <xdr:row>4</xdr:row>
                    <xdr:rowOff>22860</xdr:rowOff>
                  </from>
                  <to>
                    <xdr:col>8</xdr:col>
                    <xdr:colOff>228600</xdr:colOff>
                    <xdr:row>5</xdr:row>
                    <xdr:rowOff>68580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B396-DC01-437E-88D1-92637E446D45}">
  <dimension ref="A1:G347"/>
  <sheetViews>
    <sheetView workbookViewId="0">
      <selection activeCell="C11" sqref="C11"/>
    </sheetView>
  </sheetViews>
  <sheetFormatPr defaultRowHeight="14.45"/>
  <cols>
    <col min="1" max="1" width="3.28515625" customWidth="1"/>
    <col min="2" max="2" width="15.42578125" bestFit="1" customWidth="1"/>
    <col min="3" max="3" width="13" customWidth="1"/>
    <col min="4" max="4" width="11.28515625" customWidth="1"/>
    <col min="5" max="5" width="14.28515625" style="51" customWidth="1"/>
    <col min="6" max="6" width="16.7109375" customWidth="1"/>
    <col min="8" max="8" width="11.7109375" bestFit="1" customWidth="1"/>
  </cols>
  <sheetData>
    <row r="1" spans="1:7" ht="18">
      <c r="A1" s="1" t="s">
        <v>150</v>
      </c>
      <c r="B1" s="1"/>
      <c r="C1" s="1"/>
      <c r="D1" s="1"/>
      <c r="E1" s="1"/>
      <c r="F1" s="1"/>
      <c r="G1" s="25"/>
    </row>
    <row r="3" spans="1:7">
      <c r="B3" s="43" t="s">
        <v>151</v>
      </c>
      <c r="C3" s="44">
        <v>2</v>
      </c>
    </row>
    <row r="4" spans="1:7">
      <c r="B4" s="45" t="s">
        <v>152</v>
      </c>
      <c r="C4" s="46">
        <v>0.06</v>
      </c>
    </row>
    <row r="5" spans="1:7">
      <c r="B5" s="45" t="s">
        <v>153</v>
      </c>
      <c r="C5" s="47">
        <v>40000</v>
      </c>
    </row>
    <row r="6" spans="1:7">
      <c r="B6" s="23" t="s">
        <v>154</v>
      </c>
      <c r="C6" s="64">
        <f>-PMT(C4/12,C3*12,C5)</f>
        <v>1772.8244101102757</v>
      </c>
    </row>
    <row r="9" spans="1:7" ht="15" thickBot="1">
      <c r="B9" s="48" t="s">
        <v>155</v>
      </c>
      <c r="C9" s="48" t="s">
        <v>156</v>
      </c>
      <c r="D9" s="48" t="s">
        <v>157</v>
      </c>
      <c r="E9" s="52" t="s">
        <v>158</v>
      </c>
    </row>
    <row r="10" spans="1:7">
      <c r="C10" s="49"/>
      <c r="D10" s="49"/>
      <c r="E10" s="53"/>
    </row>
    <row r="11" spans="1:7">
      <c r="B11" s="10"/>
      <c r="C11" s="24"/>
      <c r="D11" s="24"/>
    </row>
    <row r="12" spans="1:7">
      <c r="C12" s="4"/>
      <c r="D12" s="4"/>
    </row>
    <row r="13" spans="1:7">
      <c r="C13" s="4"/>
      <c r="D13" s="4"/>
    </row>
    <row r="14" spans="1:7">
      <c r="C14" s="4"/>
      <c r="D14" s="4"/>
    </row>
    <row r="15" spans="1:7">
      <c r="C15" s="4"/>
      <c r="D15" s="4"/>
    </row>
    <row r="16" spans="1:7">
      <c r="C16" s="4"/>
      <c r="D16" s="4"/>
    </row>
    <row r="17" spans="3:4">
      <c r="C17" s="4"/>
      <c r="D17" s="4"/>
    </row>
    <row r="18" spans="3:4">
      <c r="C18" s="4"/>
      <c r="D18" s="4"/>
    </row>
    <row r="19" spans="3:4">
      <c r="C19" s="4"/>
      <c r="D19" s="4"/>
    </row>
    <row r="20" spans="3:4">
      <c r="C20" s="4"/>
      <c r="D20" s="4"/>
    </row>
    <row r="21" spans="3:4">
      <c r="C21" s="4"/>
      <c r="D21" s="4"/>
    </row>
    <row r="22" spans="3:4">
      <c r="C22" s="4"/>
      <c r="D22" s="4"/>
    </row>
    <row r="23" spans="3:4">
      <c r="C23" s="4"/>
      <c r="D23" s="4"/>
    </row>
    <row r="24" spans="3:4">
      <c r="C24" s="4"/>
      <c r="D24" s="4"/>
    </row>
    <row r="25" spans="3:4">
      <c r="C25" s="4"/>
      <c r="D25" s="4"/>
    </row>
    <row r="26" spans="3:4">
      <c r="C26" s="4"/>
      <c r="D26" s="4"/>
    </row>
    <row r="27" spans="3:4">
      <c r="C27" s="4"/>
      <c r="D27" s="4"/>
    </row>
    <row r="28" spans="3:4">
      <c r="C28" s="4"/>
      <c r="D28" s="4"/>
    </row>
    <row r="29" spans="3:4">
      <c r="C29" s="4"/>
      <c r="D29" s="4"/>
    </row>
    <row r="30" spans="3:4">
      <c r="C30" s="4"/>
      <c r="D30" s="4"/>
    </row>
    <row r="31" spans="3:4">
      <c r="C31" s="4"/>
      <c r="D31" s="4"/>
    </row>
    <row r="32" spans="3:4">
      <c r="C32" s="4"/>
      <c r="D32" s="4"/>
    </row>
    <row r="33" spans="3:4">
      <c r="C33" s="4"/>
      <c r="D33" s="4"/>
    </row>
    <row r="34" spans="3:4">
      <c r="C34" s="4"/>
      <c r="D34" s="4"/>
    </row>
    <row r="35" spans="3:4">
      <c r="C35" s="4"/>
      <c r="D35" s="4"/>
    </row>
    <row r="36" spans="3:4">
      <c r="C36" s="4"/>
      <c r="D36" s="4"/>
    </row>
    <row r="37" spans="3:4">
      <c r="C37" s="4"/>
      <c r="D37" s="4"/>
    </row>
    <row r="38" spans="3:4">
      <c r="C38" s="4"/>
      <c r="D38" s="4"/>
    </row>
    <row r="39" spans="3:4">
      <c r="C39" s="4"/>
      <c r="D39" s="4"/>
    </row>
    <row r="40" spans="3:4">
      <c r="C40" s="4"/>
      <c r="D40" s="4"/>
    </row>
    <row r="41" spans="3:4">
      <c r="C41" s="4"/>
      <c r="D41" s="4"/>
    </row>
    <row r="42" spans="3:4">
      <c r="C42" s="4"/>
      <c r="D42" s="4"/>
    </row>
    <row r="43" spans="3:4">
      <c r="C43" s="4"/>
      <c r="D43" s="4"/>
    </row>
    <row r="44" spans="3:4">
      <c r="C44" s="4"/>
      <c r="D44" s="4"/>
    </row>
    <row r="45" spans="3:4">
      <c r="C45" s="4"/>
      <c r="D45" s="4"/>
    </row>
    <row r="46" spans="3:4">
      <c r="C46" s="4"/>
      <c r="D46" s="4"/>
    </row>
    <row r="47" spans="3:4">
      <c r="C47" s="4"/>
      <c r="D47" s="4"/>
    </row>
    <row r="48" spans="3:4">
      <c r="C48" s="4"/>
      <c r="D48" s="4"/>
    </row>
    <row r="49" spans="3:4">
      <c r="C49" s="4"/>
      <c r="D49" s="4"/>
    </row>
    <row r="50" spans="3:4">
      <c r="C50" s="4"/>
      <c r="D50" s="4"/>
    </row>
    <row r="51" spans="3:4">
      <c r="C51" s="4"/>
      <c r="D51" s="4"/>
    </row>
    <row r="52" spans="3:4">
      <c r="C52" s="4"/>
      <c r="D52" s="4"/>
    </row>
    <row r="53" spans="3:4">
      <c r="C53" s="4"/>
      <c r="D53" s="4"/>
    </row>
    <row r="54" spans="3:4">
      <c r="C54" s="4"/>
      <c r="D54" s="4"/>
    </row>
    <row r="55" spans="3:4">
      <c r="C55" s="4"/>
      <c r="D55" s="4"/>
    </row>
    <row r="56" spans="3:4">
      <c r="C56" s="4"/>
      <c r="D56" s="4"/>
    </row>
    <row r="57" spans="3:4">
      <c r="C57" s="4"/>
      <c r="D57" s="4"/>
    </row>
    <row r="58" spans="3:4">
      <c r="C58" s="4"/>
      <c r="D58" s="4"/>
    </row>
    <row r="59" spans="3:4">
      <c r="C59" s="4"/>
      <c r="D59" s="4"/>
    </row>
    <row r="60" spans="3:4">
      <c r="C60" s="4"/>
      <c r="D60" s="4"/>
    </row>
    <row r="61" spans="3:4">
      <c r="C61" s="4"/>
      <c r="D61" s="4"/>
    </row>
    <row r="62" spans="3:4">
      <c r="C62" s="4"/>
      <c r="D62" s="4"/>
    </row>
    <row r="63" spans="3:4">
      <c r="C63" s="4"/>
      <c r="D63" s="4"/>
    </row>
    <row r="64" spans="3:4">
      <c r="C64" s="4"/>
      <c r="D64" s="4"/>
    </row>
    <row r="65" spans="3:4">
      <c r="C65" s="4"/>
      <c r="D65" s="4"/>
    </row>
    <row r="66" spans="3:4">
      <c r="C66" s="4"/>
      <c r="D66" s="4"/>
    </row>
    <row r="67" spans="3:4">
      <c r="C67" s="4"/>
      <c r="D67" s="4"/>
    </row>
    <row r="68" spans="3:4">
      <c r="C68" s="4"/>
      <c r="D68" s="4"/>
    </row>
    <row r="69" spans="3:4">
      <c r="C69" s="4"/>
      <c r="D69" s="4"/>
    </row>
    <row r="70" spans="3:4">
      <c r="C70" s="4"/>
      <c r="D70" s="4"/>
    </row>
    <row r="71" spans="3:4">
      <c r="C71" s="4"/>
      <c r="D71" s="4"/>
    </row>
    <row r="72" spans="3:4">
      <c r="C72" s="4"/>
      <c r="D72" s="4"/>
    </row>
    <row r="73" spans="3:4">
      <c r="C73" s="4"/>
      <c r="D73" s="4"/>
    </row>
    <row r="74" spans="3:4">
      <c r="C74" s="4"/>
      <c r="D74" s="4"/>
    </row>
    <row r="75" spans="3:4">
      <c r="C75" s="4"/>
      <c r="D75" s="4"/>
    </row>
    <row r="76" spans="3:4">
      <c r="C76" s="4"/>
      <c r="D76" s="4"/>
    </row>
    <row r="77" spans="3:4">
      <c r="C77" s="4"/>
      <c r="D77" s="4"/>
    </row>
    <row r="78" spans="3:4">
      <c r="C78" s="4"/>
      <c r="D78" s="4"/>
    </row>
    <row r="79" spans="3:4">
      <c r="C79" s="4"/>
      <c r="D79" s="4"/>
    </row>
    <row r="80" spans="3:4">
      <c r="C80" s="4"/>
      <c r="D80" s="4"/>
    </row>
    <row r="81" spans="3:4">
      <c r="C81" s="4"/>
      <c r="D81" s="4"/>
    </row>
    <row r="82" spans="3:4">
      <c r="C82" s="4"/>
      <c r="D82" s="4"/>
    </row>
    <row r="83" spans="3:4">
      <c r="C83" s="4"/>
      <c r="D83" s="4"/>
    </row>
    <row r="84" spans="3:4">
      <c r="C84" s="4"/>
      <c r="D84" s="4"/>
    </row>
    <row r="85" spans="3:4">
      <c r="C85" s="4"/>
      <c r="D85" s="4"/>
    </row>
    <row r="86" spans="3:4">
      <c r="C86" s="4"/>
      <c r="D86" s="4"/>
    </row>
    <row r="87" spans="3:4">
      <c r="C87" s="4"/>
      <c r="D87" s="4"/>
    </row>
    <row r="88" spans="3:4">
      <c r="C88" s="4"/>
      <c r="D88" s="4"/>
    </row>
    <row r="89" spans="3:4">
      <c r="C89" s="4"/>
      <c r="D89" s="4"/>
    </row>
    <row r="90" spans="3:4">
      <c r="C90" s="4"/>
      <c r="D90" s="4"/>
    </row>
    <row r="91" spans="3:4">
      <c r="C91" s="4"/>
      <c r="D91" s="4"/>
    </row>
    <row r="92" spans="3:4">
      <c r="C92" s="4"/>
      <c r="D92" s="4"/>
    </row>
    <row r="93" spans="3:4">
      <c r="C93" s="4"/>
      <c r="D93" s="4"/>
    </row>
    <row r="94" spans="3:4">
      <c r="C94" s="4"/>
      <c r="D94" s="4"/>
    </row>
    <row r="95" spans="3:4">
      <c r="C95" s="4"/>
      <c r="D95" s="4"/>
    </row>
    <row r="96" spans="3:4">
      <c r="C96" s="4"/>
      <c r="D96" s="4"/>
    </row>
    <row r="97" spans="3:4">
      <c r="C97" s="4"/>
      <c r="D97" s="4"/>
    </row>
    <row r="98" spans="3:4">
      <c r="C98" s="4"/>
      <c r="D98" s="4"/>
    </row>
    <row r="99" spans="3:4">
      <c r="C99" s="4"/>
      <c r="D99" s="4"/>
    </row>
    <row r="100" spans="3:4">
      <c r="C100" s="4"/>
      <c r="D100" s="4"/>
    </row>
    <row r="101" spans="3:4">
      <c r="C101" s="4"/>
      <c r="D101" s="4"/>
    </row>
    <row r="102" spans="3:4">
      <c r="C102" s="4"/>
      <c r="D102" s="4"/>
    </row>
    <row r="103" spans="3:4">
      <c r="C103" s="4"/>
      <c r="D103" s="4"/>
    </row>
    <row r="104" spans="3:4">
      <c r="C104" s="4"/>
      <c r="D104" s="4"/>
    </row>
    <row r="105" spans="3:4">
      <c r="C105" s="4"/>
      <c r="D105" s="4"/>
    </row>
    <row r="106" spans="3:4">
      <c r="C106" s="4"/>
      <c r="D106" s="4"/>
    </row>
    <row r="107" spans="3:4">
      <c r="C107" s="4"/>
      <c r="D107" s="4"/>
    </row>
    <row r="108" spans="3:4">
      <c r="C108" s="4"/>
      <c r="D108" s="4"/>
    </row>
    <row r="109" spans="3:4">
      <c r="C109" s="4"/>
      <c r="D109" s="4"/>
    </row>
    <row r="110" spans="3:4">
      <c r="C110" s="4"/>
      <c r="D110" s="4"/>
    </row>
    <row r="111" spans="3:4">
      <c r="C111" s="4"/>
      <c r="D111" s="4"/>
    </row>
    <row r="112" spans="3:4">
      <c r="C112" s="4"/>
      <c r="D112" s="4"/>
    </row>
    <row r="113" spans="3:4">
      <c r="C113" s="4"/>
      <c r="D113" s="4"/>
    </row>
    <row r="114" spans="3:4">
      <c r="C114" s="4"/>
      <c r="D114" s="4"/>
    </row>
    <row r="115" spans="3:4">
      <c r="C115" s="4"/>
      <c r="D115" s="4"/>
    </row>
    <row r="116" spans="3:4">
      <c r="C116" s="4"/>
      <c r="D116" s="4"/>
    </row>
    <row r="117" spans="3:4">
      <c r="C117" s="4"/>
      <c r="D117" s="4"/>
    </row>
    <row r="118" spans="3:4">
      <c r="C118" s="4"/>
      <c r="D118" s="4"/>
    </row>
    <row r="119" spans="3:4">
      <c r="C119" s="4"/>
      <c r="D119" s="4"/>
    </row>
    <row r="120" spans="3:4">
      <c r="C120" s="4"/>
      <c r="D120" s="4"/>
    </row>
    <row r="121" spans="3:4">
      <c r="C121" s="4"/>
      <c r="D121" s="4"/>
    </row>
    <row r="122" spans="3:4">
      <c r="C122" s="4"/>
      <c r="D122" s="4"/>
    </row>
    <row r="123" spans="3:4">
      <c r="C123" s="4"/>
      <c r="D123" s="4"/>
    </row>
    <row r="124" spans="3:4">
      <c r="C124" s="4"/>
      <c r="D124" s="4"/>
    </row>
    <row r="125" spans="3:4">
      <c r="C125" s="4"/>
      <c r="D125" s="4"/>
    </row>
    <row r="126" spans="3:4">
      <c r="C126" s="4"/>
      <c r="D126" s="4"/>
    </row>
    <row r="127" spans="3:4">
      <c r="C127" s="4"/>
      <c r="D127" s="4"/>
    </row>
    <row r="128" spans="3:4">
      <c r="C128" s="4"/>
      <c r="D128" s="4"/>
    </row>
    <row r="129" spans="3:4">
      <c r="C129" s="4"/>
      <c r="D129" s="4"/>
    </row>
    <row r="130" spans="3:4">
      <c r="C130" s="4"/>
      <c r="D130" s="4"/>
    </row>
    <row r="131" spans="3:4">
      <c r="C131" s="50"/>
      <c r="D131" s="50"/>
    </row>
    <row r="132" spans="3:4">
      <c r="C132" s="50"/>
      <c r="D132" s="50"/>
    </row>
    <row r="133" spans="3:4">
      <c r="C133" s="50"/>
      <c r="D133" s="50"/>
    </row>
    <row r="134" spans="3:4">
      <c r="C134" s="50"/>
      <c r="D134" s="50"/>
    </row>
    <row r="135" spans="3:4">
      <c r="C135" s="50"/>
      <c r="D135" s="50"/>
    </row>
    <row r="136" spans="3:4">
      <c r="C136" s="50"/>
      <c r="D136" s="50"/>
    </row>
    <row r="137" spans="3:4">
      <c r="C137" s="50"/>
      <c r="D137" s="50"/>
    </row>
    <row r="138" spans="3:4">
      <c r="C138" s="50"/>
      <c r="D138" s="50"/>
    </row>
    <row r="139" spans="3:4">
      <c r="C139" s="50"/>
      <c r="D139" s="50"/>
    </row>
    <row r="140" spans="3:4">
      <c r="C140" s="50"/>
      <c r="D140" s="50"/>
    </row>
    <row r="141" spans="3:4">
      <c r="C141" s="50"/>
      <c r="D141" s="50"/>
    </row>
    <row r="142" spans="3:4">
      <c r="C142" s="50"/>
      <c r="D142" s="50"/>
    </row>
    <row r="143" spans="3:4">
      <c r="C143" s="50"/>
      <c r="D143" s="50"/>
    </row>
    <row r="144" spans="3:4">
      <c r="C144" s="50"/>
      <c r="D144" s="50"/>
    </row>
    <row r="145" spans="3:4">
      <c r="C145" s="50"/>
      <c r="D145" s="50"/>
    </row>
    <row r="146" spans="3:4">
      <c r="C146" s="50"/>
      <c r="D146" s="50"/>
    </row>
    <row r="147" spans="3:4">
      <c r="C147" s="50"/>
      <c r="D147" s="50"/>
    </row>
    <row r="148" spans="3:4">
      <c r="C148" s="50"/>
      <c r="D148" s="50"/>
    </row>
    <row r="149" spans="3:4">
      <c r="C149" s="50"/>
      <c r="D149" s="50"/>
    </row>
    <row r="150" spans="3:4">
      <c r="C150" s="50"/>
      <c r="D150" s="50"/>
    </row>
    <row r="151" spans="3:4">
      <c r="C151" s="50"/>
      <c r="D151" s="50"/>
    </row>
    <row r="152" spans="3:4">
      <c r="C152" s="50"/>
      <c r="D152" s="50"/>
    </row>
    <row r="153" spans="3:4">
      <c r="C153" s="50"/>
      <c r="D153" s="50"/>
    </row>
    <row r="154" spans="3:4">
      <c r="C154" s="50"/>
      <c r="D154" s="50"/>
    </row>
    <row r="155" spans="3:4">
      <c r="C155" s="50"/>
      <c r="D155" s="50"/>
    </row>
    <row r="156" spans="3:4">
      <c r="C156" s="50"/>
      <c r="D156" s="50"/>
    </row>
    <row r="157" spans="3:4">
      <c r="C157" s="50"/>
      <c r="D157" s="50"/>
    </row>
    <row r="158" spans="3:4">
      <c r="C158" s="50"/>
      <c r="D158" s="50"/>
    </row>
    <row r="159" spans="3:4">
      <c r="C159" s="50"/>
      <c r="D159" s="50"/>
    </row>
    <row r="160" spans="3:4">
      <c r="C160" s="50"/>
      <c r="D160" s="50"/>
    </row>
    <row r="161" spans="3:4">
      <c r="C161" s="50"/>
      <c r="D161" s="50"/>
    </row>
    <row r="162" spans="3:4">
      <c r="C162" s="50"/>
      <c r="D162" s="50"/>
    </row>
    <row r="163" spans="3:4">
      <c r="C163" s="50"/>
      <c r="D163" s="50"/>
    </row>
    <row r="164" spans="3:4">
      <c r="C164" s="50"/>
      <c r="D164" s="50"/>
    </row>
    <row r="165" spans="3:4">
      <c r="C165" s="50"/>
      <c r="D165" s="50"/>
    </row>
    <row r="166" spans="3:4">
      <c r="C166" s="50"/>
      <c r="D166" s="50"/>
    </row>
    <row r="167" spans="3:4">
      <c r="C167" s="50"/>
      <c r="D167" s="50"/>
    </row>
    <row r="168" spans="3:4">
      <c r="C168" s="50"/>
      <c r="D168" s="50"/>
    </row>
    <row r="169" spans="3:4">
      <c r="C169" s="50"/>
      <c r="D169" s="50"/>
    </row>
    <row r="170" spans="3:4">
      <c r="C170" s="50"/>
      <c r="D170" s="50"/>
    </row>
    <row r="171" spans="3:4">
      <c r="C171" s="50"/>
      <c r="D171" s="50"/>
    </row>
    <row r="172" spans="3:4">
      <c r="C172" s="50"/>
      <c r="D172" s="50"/>
    </row>
    <row r="173" spans="3:4">
      <c r="C173" s="50"/>
      <c r="D173" s="50"/>
    </row>
    <row r="174" spans="3:4">
      <c r="C174" s="50"/>
      <c r="D174" s="50"/>
    </row>
    <row r="175" spans="3:4">
      <c r="C175" s="50"/>
      <c r="D175" s="50"/>
    </row>
    <row r="176" spans="3:4">
      <c r="C176" s="50"/>
      <c r="D176" s="50"/>
    </row>
    <row r="177" spans="3:4">
      <c r="C177" s="50"/>
      <c r="D177" s="50"/>
    </row>
    <row r="178" spans="3:4">
      <c r="C178" s="50"/>
      <c r="D178" s="50"/>
    </row>
    <row r="179" spans="3:4">
      <c r="C179" s="50"/>
      <c r="D179" s="50"/>
    </row>
    <row r="180" spans="3:4">
      <c r="C180" s="50"/>
      <c r="D180" s="50"/>
    </row>
    <row r="181" spans="3:4">
      <c r="C181" s="50"/>
      <c r="D181" s="50"/>
    </row>
    <row r="182" spans="3:4">
      <c r="C182" s="50"/>
      <c r="D182" s="50"/>
    </row>
    <row r="183" spans="3:4">
      <c r="C183" s="50"/>
      <c r="D183" s="50"/>
    </row>
    <row r="184" spans="3:4">
      <c r="C184" s="50"/>
      <c r="D184" s="50"/>
    </row>
    <row r="185" spans="3:4">
      <c r="C185" s="50"/>
      <c r="D185" s="50"/>
    </row>
    <row r="186" spans="3:4">
      <c r="C186" s="50"/>
      <c r="D186" s="50"/>
    </row>
    <row r="187" spans="3:4">
      <c r="C187" s="50"/>
      <c r="D187" s="50"/>
    </row>
    <row r="188" spans="3:4">
      <c r="C188" s="50"/>
      <c r="D188" s="50"/>
    </row>
    <row r="189" spans="3:4">
      <c r="C189" s="50"/>
      <c r="D189" s="50"/>
    </row>
    <row r="190" spans="3:4">
      <c r="C190" s="50"/>
      <c r="D190" s="50"/>
    </row>
    <row r="191" spans="3:4">
      <c r="C191" s="50"/>
      <c r="D191" s="50"/>
    </row>
    <row r="192" spans="3:4">
      <c r="C192" s="50"/>
      <c r="D192" s="50"/>
    </row>
    <row r="193" spans="3:4">
      <c r="C193" s="50"/>
      <c r="D193" s="50"/>
    </row>
    <row r="194" spans="3:4">
      <c r="C194" s="50"/>
      <c r="D194" s="50"/>
    </row>
    <row r="195" spans="3:4">
      <c r="C195" s="50"/>
      <c r="D195" s="50"/>
    </row>
    <row r="196" spans="3:4">
      <c r="C196" s="50"/>
      <c r="D196" s="50"/>
    </row>
    <row r="197" spans="3:4">
      <c r="C197" s="50"/>
      <c r="D197" s="50"/>
    </row>
    <row r="198" spans="3:4">
      <c r="C198" s="50"/>
      <c r="D198" s="50"/>
    </row>
    <row r="199" spans="3:4">
      <c r="C199" s="50"/>
      <c r="D199" s="50"/>
    </row>
    <row r="200" spans="3:4">
      <c r="C200" s="50"/>
      <c r="D200" s="50"/>
    </row>
    <row r="201" spans="3:4">
      <c r="C201" s="50"/>
      <c r="D201" s="50"/>
    </row>
    <row r="202" spans="3:4">
      <c r="C202" s="50"/>
      <c r="D202" s="50"/>
    </row>
    <row r="203" spans="3:4">
      <c r="C203" s="50"/>
      <c r="D203" s="50"/>
    </row>
    <row r="204" spans="3:4">
      <c r="C204" s="50"/>
      <c r="D204" s="50"/>
    </row>
    <row r="205" spans="3:4">
      <c r="C205" s="50"/>
      <c r="D205" s="50"/>
    </row>
    <row r="206" spans="3:4">
      <c r="C206" s="50"/>
      <c r="D206" s="50"/>
    </row>
    <row r="207" spans="3:4">
      <c r="C207" s="50"/>
      <c r="D207" s="50"/>
    </row>
    <row r="208" spans="3:4">
      <c r="C208" s="50"/>
      <c r="D208" s="50"/>
    </row>
    <row r="209" spans="3:4">
      <c r="C209" s="50"/>
      <c r="D209" s="50"/>
    </row>
    <row r="210" spans="3:4">
      <c r="C210" s="50"/>
      <c r="D210" s="50"/>
    </row>
    <row r="211" spans="3:4">
      <c r="C211" s="50"/>
      <c r="D211" s="50"/>
    </row>
    <row r="212" spans="3:4">
      <c r="C212" s="50"/>
      <c r="D212" s="50"/>
    </row>
    <row r="213" spans="3:4">
      <c r="C213" s="50"/>
      <c r="D213" s="50"/>
    </row>
    <row r="214" spans="3:4">
      <c r="C214" s="50"/>
      <c r="D214" s="50"/>
    </row>
    <row r="215" spans="3:4">
      <c r="C215" s="50"/>
      <c r="D215" s="50"/>
    </row>
    <row r="216" spans="3:4">
      <c r="C216" s="50"/>
      <c r="D216" s="50"/>
    </row>
    <row r="217" spans="3:4">
      <c r="C217" s="50"/>
      <c r="D217" s="50"/>
    </row>
    <row r="218" spans="3:4">
      <c r="C218" s="50"/>
      <c r="D218" s="50"/>
    </row>
    <row r="219" spans="3:4">
      <c r="C219" s="50"/>
      <c r="D219" s="50"/>
    </row>
    <row r="220" spans="3:4">
      <c r="C220" s="50"/>
      <c r="D220" s="50"/>
    </row>
    <row r="221" spans="3:4">
      <c r="C221" s="50"/>
      <c r="D221" s="50"/>
    </row>
    <row r="222" spans="3:4">
      <c r="C222" s="50"/>
      <c r="D222" s="50"/>
    </row>
    <row r="223" spans="3:4">
      <c r="C223" s="50"/>
      <c r="D223" s="50"/>
    </row>
    <row r="224" spans="3:4">
      <c r="C224" s="50"/>
      <c r="D224" s="50"/>
    </row>
    <row r="225" spans="3:4">
      <c r="C225" s="50"/>
      <c r="D225" s="50"/>
    </row>
    <row r="226" spans="3:4">
      <c r="C226" s="50"/>
      <c r="D226" s="50"/>
    </row>
    <row r="227" spans="3:4">
      <c r="C227" s="50"/>
      <c r="D227" s="50"/>
    </row>
    <row r="228" spans="3:4">
      <c r="C228" s="50"/>
      <c r="D228" s="50"/>
    </row>
    <row r="229" spans="3:4">
      <c r="C229" s="50"/>
      <c r="D229" s="50"/>
    </row>
    <row r="230" spans="3:4">
      <c r="C230" s="50"/>
      <c r="D230" s="50"/>
    </row>
    <row r="231" spans="3:4">
      <c r="C231" s="50"/>
      <c r="D231" s="50"/>
    </row>
    <row r="232" spans="3:4">
      <c r="C232" s="50"/>
      <c r="D232" s="50"/>
    </row>
    <row r="233" spans="3:4">
      <c r="C233" s="50"/>
      <c r="D233" s="50"/>
    </row>
    <row r="234" spans="3:4">
      <c r="C234" s="50"/>
      <c r="D234" s="50"/>
    </row>
    <row r="235" spans="3:4">
      <c r="C235" s="50"/>
      <c r="D235" s="50"/>
    </row>
    <row r="236" spans="3:4">
      <c r="C236" s="50"/>
      <c r="D236" s="50"/>
    </row>
    <row r="237" spans="3:4">
      <c r="C237" s="50"/>
      <c r="D237" s="50"/>
    </row>
    <row r="238" spans="3:4">
      <c r="C238" s="50"/>
      <c r="D238" s="50"/>
    </row>
    <row r="239" spans="3:4">
      <c r="C239" s="50"/>
      <c r="D239" s="50"/>
    </row>
    <row r="240" spans="3:4">
      <c r="C240" s="50"/>
      <c r="D240" s="50"/>
    </row>
    <row r="241" spans="3:4">
      <c r="C241" s="50"/>
      <c r="D241" s="50"/>
    </row>
    <row r="242" spans="3:4">
      <c r="C242" s="50"/>
      <c r="D242" s="50"/>
    </row>
    <row r="243" spans="3:4">
      <c r="C243" s="50"/>
      <c r="D243" s="50"/>
    </row>
    <row r="244" spans="3:4">
      <c r="C244" s="50"/>
      <c r="D244" s="50"/>
    </row>
    <row r="245" spans="3:4">
      <c r="C245" s="50"/>
      <c r="D245" s="50"/>
    </row>
    <row r="246" spans="3:4">
      <c r="C246" s="50"/>
      <c r="D246" s="50"/>
    </row>
    <row r="247" spans="3:4">
      <c r="C247" s="50"/>
      <c r="D247" s="50"/>
    </row>
    <row r="248" spans="3:4">
      <c r="C248" s="50"/>
      <c r="D248" s="50"/>
    </row>
    <row r="249" spans="3:4">
      <c r="C249" s="50"/>
      <c r="D249" s="50"/>
    </row>
    <row r="250" spans="3:4">
      <c r="C250" s="50"/>
      <c r="D250" s="50"/>
    </row>
    <row r="251" spans="3:4">
      <c r="C251" s="50"/>
      <c r="D251" s="50"/>
    </row>
    <row r="252" spans="3:4">
      <c r="C252" s="50"/>
      <c r="D252" s="50"/>
    </row>
    <row r="253" spans="3:4">
      <c r="C253" s="50"/>
      <c r="D253" s="50"/>
    </row>
    <row r="254" spans="3:4">
      <c r="C254" s="50"/>
      <c r="D254" s="50"/>
    </row>
    <row r="255" spans="3:4">
      <c r="C255" s="50"/>
      <c r="D255" s="50"/>
    </row>
    <row r="256" spans="3:4">
      <c r="C256" s="50"/>
      <c r="D256" s="50"/>
    </row>
    <row r="257" spans="3:4">
      <c r="C257" s="50"/>
      <c r="D257" s="50"/>
    </row>
    <row r="258" spans="3:4">
      <c r="C258" s="50"/>
      <c r="D258" s="50"/>
    </row>
    <row r="259" spans="3:4">
      <c r="C259" s="50"/>
      <c r="D259" s="50"/>
    </row>
    <row r="260" spans="3:4">
      <c r="C260" s="50"/>
      <c r="D260" s="50"/>
    </row>
    <row r="261" spans="3:4">
      <c r="C261" s="50"/>
      <c r="D261" s="50"/>
    </row>
    <row r="262" spans="3:4">
      <c r="C262" s="50"/>
      <c r="D262" s="50"/>
    </row>
    <row r="263" spans="3:4">
      <c r="C263" s="50"/>
      <c r="D263" s="50"/>
    </row>
    <row r="264" spans="3:4">
      <c r="C264" s="50"/>
      <c r="D264" s="50"/>
    </row>
    <row r="265" spans="3:4">
      <c r="C265" s="50"/>
      <c r="D265" s="50"/>
    </row>
    <row r="266" spans="3:4">
      <c r="C266" s="50"/>
      <c r="D266" s="50"/>
    </row>
    <row r="267" spans="3:4">
      <c r="C267" s="50"/>
      <c r="D267" s="50"/>
    </row>
    <row r="268" spans="3:4">
      <c r="C268" s="50"/>
      <c r="D268" s="50"/>
    </row>
    <row r="269" spans="3:4">
      <c r="C269" s="50"/>
      <c r="D269" s="50"/>
    </row>
    <row r="270" spans="3:4">
      <c r="C270" s="50"/>
      <c r="D270" s="50"/>
    </row>
    <row r="271" spans="3:4">
      <c r="C271" s="50"/>
      <c r="D271" s="50"/>
    </row>
    <row r="272" spans="3:4">
      <c r="C272" s="50"/>
      <c r="D272" s="50"/>
    </row>
    <row r="273" spans="3:4">
      <c r="C273" s="50"/>
      <c r="D273" s="50"/>
    </row>
    <row r="274" spans="3:4">
      <c r="C274" s="50"/>
      <c r="D274" s="50"/>
    </row>
    <row r="275" spans="3:4">
      <c r="C275" s="50"/>
      <c r="D275" s="50"/>
    </row>
    <row r="276" spans="3:4">
      <c r="C276" s="50"/>
      <c r="D276" s="50"/>
    </row>
    <row r="277" spans="3:4">
      <c r="C277" s="50"/>
      <c r="D277" s="50"/>
    </row>
    <row r="278" spans="3:4">
      <c r="C278" s="50"/>
      <c r="D278" s="50"/>
    </row>
    <row r="279" spans="3:4">
      <c r="C279" s="50"/>
      <c r="D279" s="50"/>
    </row>
    <row r="280" spans="3:4">
      <c r="C280" s="50"/>
      <c r="D280" s="50"/>
    </row>
    <row r="281" spans="3:4">
      <c r="C281" s="50"/>
      <c r="D281" s="50"/>
    </row>
    <row r="282" spans="3:4">
      <c r="C282" s="50"/>
      <c r="D282" s="50"/>
    </row>
    <row r="283" spans="3:4">
      <c r="C283" s="50"/>
      <c r="D283" s="50"/>
    </row>
    <row r="284" spans="3:4">
      <c r="C284" s="50"/>
      <c r="D284" s="50"/>
    </row>
    <row r="285" spans="3:4">
      <c r="C285" s="50"/>
      <c r="D285" s="50"/>
    </row>
    <row r="286" spans="3:4">
      <c r="C286" s="50"/>
      <c r="D286" s="50"/>
    </row>
    <row r="287" spans="3:4">
      <c r="C287" s="50"/>
      <c r="D287" s="50"/>
    </row>
    <row r="288" spans="3:4">
      <c r="C288" s="50"/>
      <c r="D288" s="50"/>
    </row>
    <row r="289" spans="3:4">
      <c r="C289" s="50"/>
      <c r="D289" s="50"/>
    </row>
    <row r="290" spans="3:4">
      <c r="C290" s="50"/>
      <c r="D290" s="50"/>
    </row>
    <row r="291" spans="3:4">
      <c r="C291" s="50"/>
      <c r="D291" s="50"/>
    </row>
    <row r="292" spans="3:4">
      <c r="C292" s="50"/>
      <c r="D292" s="50"/>
    </row>
    <row r="293" spans="3:4">
      <c r="C293" s="50"/>
      <c r="D293" s="50"/>
    </row>
    <row r="294" spans="3:4">
      <c r="C294" s="50"/>
      <c r="D294" s="50"/>
    </row>
    <row r="295" spans="3:4">
      <c r="C295" s="50"/>
      <c r="D295" s="50"/>
    </row>
    <row r="296" spans="3:4">
      <c r="C296" s="50"/>
      <c r="D296" s="50"/>
    </row>
    <row r="297" spans="3:4">
      <c r="C297" s="50"/>
      <c r="D297" s="50"/>
    </row>
    <row r="298" spans="3:4">
      <c r="C298" s="50"/>
      <c r="D298" s="50"/>
    </row>
    <row r="299" spans="3:4">
      <c r="C299" s="50"/>
      <c r="D299" s="50"/>
    </row>
    <row r="300" spans="3:4">
      <c r="C300" s="50"/>
      <c r="D300" s="50"/>
    </row>
    <row r="301" spans="3:4">
      <c r="C301" s="50"/>
      <c r="D301" s="50"/>
    </row>
    <row r="302" spans="3:4">
      <c r="C302" s="50"/>
      <c r="D302" s="50"/>
    </row>
    <row r="303" spans="3:4">
      <c r="C303" s="50"/>
      <c r="D303" s="50"/>
    </row>
    <row r="304" spans="3:4">
      <c r="C304" s="50"/>
      <c r="D304" s="50"/>
    </row>
    <row r="305" spans="3:4">
      <c r="C305" s="50"/>
      <c r="D305" s="50"/>
    </row>
    <row r="306" spans="3:4">
      <c r="C306" s="50"/>
      <c r="D306" s="50"/>
    </row>
    <row r="307" spans="3:4">
      <c r="C307" s="50"/>
      <c r="D307" s="50"/>
    </row>
    <row r="308" spans="3:4">
      <c r="C308" s="50"/>
      <c r="D308" s="50"/>
    </row>
    <row r="309" spans="3:4">
      <c r="C309" s="50"/>
      <c r="D309" s="50"/>
    </row>
    <row r="310" spans="3:4">
      <c r="C310" s="50"/>
      <c r="D310" s="50"/>
    </row>
    <row r="311" spans="3:4">
      <c r="C311" s="50"/>
      <c r="D311" s="50"/>
    </row>
    <row r="312" spans="3:4">
      <c r="C312" s="50"/>
      <c r="D312" s="50"/>
    </row>
    <row r="313" spans="3:4">
      <c r="C313" s="50"/>
      <c r="D313" s="50"/>
    </row>
    <row r="314" spans="3:4">
      <c r="C314" s="50"/>
      <c r="D314" s="50"/>
    </row>
    <row r="315" spans="3:4">
      <c r="C315" s="50"/>
      <c r="D315" s="50"/>
    </row>
    <row r="316" spans="3:4">
      <c r="C316" s="50"/>
      <c r="D316" s="50"/>
    </row>
    <row r="317" spans="3:4">
      <c r="C317" s="50"/>
      <c r="D317" s="50"/>
    </row>
    <row r="318" spans="3:4">
      <c r="C318" s="50"/>
      <c r="D318" s="50"/>
    </row>
    <row r="319" spans="3:4">
      <c r="C319" s="50"/>
      <c r="D319" s="50"/>
    </row>
    <row r="320" spans="3:4">
      <c r="C320" s="50"/>
      <c r="D320" s="50"/>
    </row>
    <row r="321" spans="3:4">
      <c r="C321" s="50"/>
      <c r="D321" s="50"/>
    </row>
    <row r="322" spans="3:4">
      <c r="C322" s="50"/>
      <c r="D322" s="50"/>
    </row>
    <row r="323" spans="3:4">
      <c r="C323" s="50"/>
      <c r="D323" s="50"/>
    </row>
    <row r="324" spans="3:4">
      <c r="C324" s="50"/>
      <c r="D324" s="50"/>
    </row>
    <row r="325" spans="3:4">
      <c r="C325" s="50"/>
      <c r="D325" s="50"/>
    </row>
    <row r="326" spans="3:4">
      <c r="C326" s="50"/>
      <c r="D326" s="50"/>
    </row>
    <row r="327" spans="3:4">
      <c r="C327" s="50"/>
      <c r="D327" s="50"/>
    </row>
    <row r="328" spans="3:4">
      <c r="C328" s="50"/>
      <c r="D328" s="50"/>
    </row>
    <row r="329" spans="3:4">
      <c r="C329" s="50"/>
      <c r="D329" s="50"/>
    </row>
    <row r="330" spans="3:4">
      <c r="C330" s="50"/>
      <c r="D330" s="50"/>
    </row>
    <row r="331" spans="3:4">
      <c r="C331" s="50"/>
      <c r="D331" s="50"/>
    </row>
    <row r="332" spans="3:4">
      <c r="C332" s="50"/>
      <c r="D332" s="50"/>
    </row>
    <row r="333" spans="3:4">
      <c r="C333" s="50"/>
      <c r="D333" s="50"/>
    </row>
    <row r="334" spans="3:4">
      <c r="C334" s="50"/>
      <c r="D334" s="50"/>
    </row>
    <row r="335" spans="3:4">
      <c r="C335" s="50"/>
      <c r="D335" s="50"/>
    </row>
    <row r="336" spans="3:4">
      <c r="C336" s="50"/>
      <c r="D336" s="50"/>
    </row>
    <row r="337" spans="3:4">
      <c r="C337" s="50"/>
      <c r="D337" s="50"/>
    </row>
    <row r="338" spans="3:4">
      <c r="C338" s="50"/>
      <c r="D338" s="50"/>
    </row>
    <row r="339" spans="3:4">
      <c r="C339" s="50"/>
      <c r="D339" s="50"/>
    </row>
    <row r="340" spans="3:4">
      <c r="C340" s="50"/>
      <c r="D340" s="50"/>
    </row>
    <row r="341" spans="3:4">
      <c r="C341" s="50"/>
      <c r="D341" s="50"/>
    </row>
    <row r="342" spans="3:4">
      <c r="C342" s="50"/>
      <c r="D342" s="50"/>
    </row>
    <row r="343" spans="3:4">
      <c r="C343" s="50"/>
      <c r="D343" s="50"/>
    </row>
    <row r="344" spans="3:4">
      <c r="C344" s="50"/>
      <c r="D344" s="50"/>
    </row>
    <row r="345" spans="3:4">
      <c r="C345" s="50"/>
      <c r="D345" s="50"/>
    </row>
    <row r="346" spans="3:4">
      <c r="C346" s="50"/>
      <c r="D346" s="50"/>
    </row>
    <row r="347" spans="3:4">
      <c r="C347" s="50"/>
      <c r="D347" s="50"/>
    </row>
  </sheetData>
  <dataValidations count="1">
    <dataValidation allowBlank="1" showInputMessage="1" showErrorMessage="1" errorTitle="Number outside range" error="Please input a number between 1 and 10. Thank you!" sqref="C3" xr:uid="{791ED8F8-1F6C-44F2-804F-EF82A081BBDB}"/>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24E7-8F59-42E5-AB2E-54ACAA54D08B}">
  <sheetPr>
    <tabColor theme="0" tint="-0.34998626667073579"/>
  </sheetPr>
  <dimension ref="A1:G35"/>
  <sheetViews>
    <sheetView workbookViewId="0">
      <selection activeCell="A4" sqref="A4"/>
    </sheetView>
  </sheetViews>
  <sheetFormatPr defaultRowHeight="14.45"/>
  <cols>
    <col min="1" max="1" width="25.42578125" bestFit="1" customWidth="1"/>
    <col min="2" max="2" width="14.85546875" customWidth="1"/>
  </cols>
  <sheetData>
    <row r="1" spans="1:7" ht="18">
      <c r="A1" s="1" t="s">
        <v>159</v>
      </c>
      <c r="B1" s="1"/>
      <c r="C1" s="1"/>
      <c r="D1" s="1"/>
      <c r="E1" s="1"/>
      <c r="F1" s="1"/>
      <c r="G1" s="25"/>
    </row>
    <row r="2" spans="1:7" ht="18">
      <c r="A2" s="63"/>
      <c r="B2" s="63"/>
      <c r="C2" s="63"/>
      <c r="D2" s="63"/>
      <c r="E2" s="63"/>
      <c r="F2" s="63"/>
      <c r="G2" s="25"/>
    </row>
    <row r="3" spans="1:7" ht="15" thickBot="1">
      <c r="A3" s="58" t="s">
        <v>160</v>
      </c>
      <c r="B3" s="59" t="s">
        <v>161</v>
      </c>
    </row>
    <row r="4" spans="1:7">
      <c r="A4" s="23" t="s">
        <v>162</v>
      </c>
      <c r="B4" s="60">
        <v>279719</v>
      </c>
    </row>
    <row r="5" spans="1:7">
      <c r="A5" s="23" t="s">
        <v>163</v>
      </c>
      <c r="B5" s="60">
        <v>434877</v>
      </c>
    </row>
    <row r="6" spans="1:7">
      <c r="A6" s="23" t="s">
        <v>164</v>
      </c>
      <c r="B6" s="60">
        <v>469792</v>
      </c>
    </row>
    <row r="7" spans="1:7">
      <c r="A7" s="23" t="s">
        <v>165</v>
      </c>
      <c r="B7" s="60">
        <v>213524</v>
      </c>
    </row>
    <row r="8" spans="1:7">
      <c r="A8" s="23" t="s">
        <v>166</v>
      </c>
      <c r="B8" s="60">
        <v>464879</v>
      </c>
    </row>
    <row r="9" spans="1:7">
      <c r="A9" s="23" t="s">
        <v>167</v>
      </c>
      <c r="B9" s="60">
        <v>556558</v>
      </c>
    </row>
    <row r="10" spans="1:7">
      <c r="A10" s="23" t="s">
        <v>168</v>
      </c>
      <c r="B10" s="60">
        <v>386961</v>
      </c>
    </row>
    <row r="11" spans="1:7">
      <c r="A11" s="23" t="s">
        <v>169</v>
      </c>
      <c r="B11" s="60">
        <v>548077</v>
      </c>
    </row>
    <row r="12" spans="1:7">
      <c r="A12" s="23" t="s">
        <v>14</v>
      </c>
      <c r="B12" s="60">
        <v>532983</v>
      </c>
    </row>
    <row r="13" spans="1:7">
      <c r="A13" s="23" t="s">
        <v>170</v>
      </c>
      <c r="B13" s="60">
        <v>526372</v>
      </c>
    </row>
    <row r="14" spans="1:7">
      <c r="A14" s="23" t="s">
        <v>171</v>
      </c>
      <c r="B14" s="60">
        <v>316521</v>
      </c>
    </row>
    <row r="15" spans="1:7">
      <c r="A15" s="23" t="s">
        <v>172</v>
      </c>
      <c r="B15" s="60">
        <v>161577</v>
      </c>
    </row>
    <row r="16" spans="1:7">
      <c r="A16" s="23" t="s">
        <v>173</v>
      </c>
      <c r="B16" s="60">
        <v>549736</v>
      </c>
    </row>
    <row r="17" spans="1:2">
      <c r="A17" s="23" t="s">
        <v>174</v>
      </c>
      <c r="B17" s="60">
        <v>592138</v>
      </c>
    </row>
    <row r="18" spans="1:2">
      <c r="A18" s="23" t="s">
        <v>175</v>
      </c>
      <c r="B18" s="60">
        <v>331727</v>
      </c>
    </row>
    <row r="19" spans="1:2">
      <c r="A19" s="23" t="s">
        <v>176</v>
      </c>
      <c r="B19" s="60">
        <v>167076</v>
      </c>
    </row>
    <row r="20" spans="1:2">
      <c r="A20" s="23" t="s">
        <v>10</v>
      </c>
      <c r="B20" s="60">
        <v>459888</v>
      </c>
    </row>
    <row r="21" spans="1:2">
      <c r="A21" s="23" t="s">
        <v>177</v>
      </c>
      <c r="B21" s="60">
        <v>441440</v>
      </c>
    </row>
    <row r="22" spans="1:2">
      <c r="A22" s="23" t="s">
        <v>178</v>
      </c>
      <c r="B22" s="60">
        <v>324329</v>
      </c>
    </row>
    <row r="23" spans="1:2">
      <c r="A23" s="23" t="s">
        <v>8</v>
      </c>
      <c r="B23" s="60">
        <v>485654</v>
      </c>
    </row>
    <row r="24" spans="1:2">
      <c r="A24" s="23" t="s">
        <v>179</v>
      </c>
      <c r="B24" s="60">
        <v>557480</v>
      </c>
    </row>
    <row r="25" spans="1:2">
      <c r="A25" s="23" t="s">
        <v>180</v>
      </c>
      <c r="B25" s="60">
        <v>253945</v>
      </c>
    </row>
    <row r="26" spans="1:2">
      <c r="A26" s="23" t="s">
        <v>181</v>
      </c>
      <c r="B26" s="60">
        <v>372405</v>
      </c>
    </row>
    <row r="27" spans="1:2">
      <c r="A27" s="23" t="s">
        <v>182</v>
      </c>
      <c r="B27" s="60">
        <v>489802</v>
      </c>
    </row>
    <row r="28" spans="1:2">
      <c r="A28" s="23" t="s">
        <v>7</v>
      </c>
      <c r="B28" s="60">
        <v>185327</v>
      </c>
    </row>
    <row r="29" spans="1:2">
      <c r="A29" s="23" t="s">
        <v>183</v>
      </c>
      <c r="B29" s="60">
        <v>135597</v>
      </c>
    </row>
    <row r="30" spans="1:2">
      <c r="A30" s="23" t="s">
        <v>184</v>
      </c>
      <c r="B30" s="60">
        <v>103038</v>
      </c>
    </row>
    <row r="31" spans="1:2">
      <c r="A31" s="23" t="s">
        <v>185</v>
      </c>
      <c r="B31" s="60">
        <v>225055</v>
      </c>
    </row>
    <row r="32" spans="1:2">
      <c r="A32" s="23" t="s">
        <v>186</v>
      </c>
      <c r="B32" s="60">
        <v>249149</v>
      </c>
    </row>
    <row r="33" spans="1:2">
      <c r="A33" s="23" t="s">
        <v>187</v>
      </c>
      <c r="B33" s="60">
        <v>126843</v>
      </c>
    </row>
    <row r="34" spans="1:2">
      <c r="A34" s="23" t="s">
        <v>188</v>
      </c>
      <c r="B34" s="60">
        <v>462077</v>
      </c>
    </row>
    <row r="35" spans="1:2">
      <c r="A35" s="23" t="s">
        <v>189</v>
      </c>
      <c r="B35" s="60">
        <v>346734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E546A-93B5-4400-864E-3ADF7DDC7486}">
  <sheetPr>
    <tabColor theme="0" tint="-0.34998626667073579"/>
  </sheetPr>
  <dimension ref="A1:G7"/>
  <sheetViews>
    <sheetView workbookViewId="0">
      <selection activeCell="A3" sqref="A3:B7"/>
    </sheetView>
  </sheetViews>
  <sheetFormatPr defaultRowHeight="14.45"/>
  <cols>
    <col min="1" max="1" width="22.28515625" bestFit="1" customWidth="1"/>
    <col min="2" max="2" width="16.28515625" customWidth="1"/>
  </cols>
  <sheetData>
    <row r="1" spans="1:7" ht="18">
      <c r="A1" s="1" t="s">
        <v>190</v>
      </c>
      <c r="B1" s="1"/>
      <c r="C1" s="1"/>
      <c r="D1" s="1"/>
      <c r="E1" s="1"/>
      <c r="F1" s="1"/>
      <c r="G1" s="25"/>
    </row>
    <row r="3" spans="1:7">
      <c r="A3" s="5" t="s">
        <v>191</v>
      </c>
      <c r="B3" s="5" t="s">
        <v>192</v>
      </c>
    </row>
    <row r="4" spans="1:7">
      <c r="A4" t="s">
        <v>193</v>
      </c>
      <c r="B4">
        <v>120</v>
      </c>
    </row>
    <row r="5" spans="1:7">
      <c r="A5" t="s">
        <v>194</v>
      </c>
      <c r="B5">
        <v>70</v>
      </c>
    </row>
    <row r="6" spans="1:7">
      <c r="A6" t="s">
        <v>195</v>
      </c>
      <c r="B6">
        <v>60</v>
      </c>
    </row>
    <row r="7" spans="1:7">
      <c r="A7" t="s">
        <v>196</v>
      </c>
      <c r="B7">
        <v>20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2935-19A2-49C7-9325-D41198CAA3DF}">
  <sheetPr>
    <tabColor theme="0" tint="-0.34998626667073579"/>
  </sheetPr>
  <dimension ref="A1:G7"/>
  <sheetViews>
    <sheetView tabSelected="1" zoomScale="130" zoomScaleNormal="130" workbookViewId="0">
      <selection activeCell="A6" sqref="A6"/>
    </sheetView>
  </sheetViews>
  <sheetFormatPr defaultRowHeight="14.45"/>
  <cols>
    <col min="1" max="1" width="11.7109375" bestFit="1" customWidth="1"/>
  </cols>
  <sheetData>
    <row r="1" spans="1:7" ht="18">
      <c r="A1" s="1" t="s">
        <v>197</v>
      </c>
      <c r="B1" s="1"/>
      <c r="C1" s="1"/>
      <c r="D1" s="1"/>
      <c r="E1" s="1"/>
      <c r="F1" s="1"/>
      <c r="G1" s="25"/>
    </row>
    <row r="2" spans="1:7" ht="12.6" customHeight="1">
      <c r="A2" s="63"/>
      <c r="B2" s="63"/>
      <c r="C2" s="63"/>
      <c r="D2" s="63"/>
      <c r="E2" s="63"/>
      <c r="F2" s="63"/>
      <c r="G2" s="25"/>
    </row>
    <row r="3" spans="1:7">
      <c r="A3" s="5" t="s">
        <v>198</v>
      </c>
    </row>
    <row r="4" spans="1:7">
      <c r="A4" t="e" vm="1">
        <v>#VALUE!</v>
      </c>
    </row>
    <row r="5" spans="1:7">
      <c r="A5" t="e" vm="2">
        <v>#VALUE!</v>
      </c>
    </row>
    <row r="6" spans="1:7">
      <c r="A6" t="s">
        <v>199</v>
      </c>
    </row>
    <row r="7" spans="1:7">
      <c r="A7" t="e" vm="3">
        <v>#VALUE!</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FB3D-6D8B-474F-9746-29BCBC23F01A}">
  <sheetPr>
    <tabColor theme="0" tint="-0.34998626667073579"/>
  </sheetPr>
  <dimension ref="B3:D7"/>
  <sheetViews>
    <sheetView zoomScale="160" zoomScaleNormal="160" workbookViewId="0">
      <selection activeCell="D13" sqref="D13"/>
    </sheetView>
  </sheetViews>
  <sheetFormatPr defaultRowHeight="14.45"/>
  <sheetData>
    <row r="3" spans="2:4">
      <c r="B3" s="5" t="s">
        <v>94</v>
      </c>
      <c r="C3" s="5" t="s">
        <v>25</v>
      </c>
      <c r="D3" s="5" t="s">
        <v>200</v>
      </c>
    </row>
    <row r="4" spans="2:4">
      <c r="B4" t="s">
        <v>201</v>
      </c>
      <c r="C4">
        <v>2756</v>
      </c>
      <c r="D4">
        <v>524</v>
      </c>
    </row>
    <row r="5" spans="2:4">
      <c r="B5" t="s">
        <v>202</v>
      </c>
      <c r="C5">
        <v>5487</v>
      </c>
      <c r="D5">
        <v>867</v>
      </c>
    </row>
    <row r="6" spans="2:4">
      <c r="B6" t="s">
        <v>203</v>
      </c>
      <c r="C6">
        <v>6547</v>
      </c>
      <c r="D6">
        <v>1023</v>
      </c>
    </row>
    <row r="7" spans="2:4">
      <c r="B7" t="s">
        <v>204</v>
      </c>
      <c r="C7">
        <v>4576</v>
      </c>
      <c r="D7">
        <v>264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6E014-0A56-4EF2-A3A6-6F15986CC886}">
  <dimension ref="A1"/>
  <sheetViews>
    <sheetView workbookViewId="0"/>
  </sheetViews>
  <sheetFormatPr defaultRowHeight="14.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C6A-6607-47BD-A88F-B7A797BCCC81}">
  <sheetPr>
    <tabColor theme="2" tint="-0.249977111117893"/>
  </sheetPr>
  <dimension ref="A1:G19"/>
  <sheetViews>
    <sheetView workbookViewId="0">
      <selection activeCell="G19" sqref="G19"/>
    </sheetView>
  </sheetViews>
  <sheetFormatPr defaultColWidth="8.85546875" defaultRowHeight="14.45"/>
  <cols>
    <col min="1" max="3" width="17.140625" style="30" customWidth="1"/>
    <col min="4" max="4" width="9.5703125" style="30" customWidth="1"/>
    <col min="5" max="5" width="21.85546875" style="30" bestFit="1" customWidth="1"/>
    <col min="6" max="6" width="14.28515625" style="30" customWidth="1"/>
    <col min="7" max="16384" width="8.85546875" style="30"/>
  </cols>
  <sheetData>
    <row r="1" spans="1:7" customFormat="1" ht="18">
      <c r="A1" s="1" t="s">
        <v>205</v>
      </c>
      <c r="B1" s="1"/>
      <c r="C1" s="1"/>
      <c r="D1" s="1"/>
      <c r="E1" s="1"/>
      <c r="F1" s="1"/>
      <c r="G1" s="25"/>
    </row>
    <row r="4" spans="1:7" ht="15" thickBot="1">
      <c r="A4" s="31" t="s">
        <v>206</v>
      </c>
      <c r="B4" s="31" t="s">
        <v>94</v>
      </c>
      <c r="C4" s="31" t="s">
        <v>5</v>
      </c>
      <c r="E4" s="32" t="s">
        <v>94</v>
      </c>
      <c r="F4" s="33"/>
    </row>
    <row r="5" spans="1:7">
      <c r="A5" s="30" t="s">
        <v>207</v>
      </c>
      <c r="B5" s="30" t="s">
        <v>208</v>
      </c>
      <c r="C5" s="34">
        <v>44196</v>
      </c>
    </row>
    <row r="6" spans="1:7" ht="15" thickBot="1">
      <c r="A6" s="30" t="s">
        <v>207</v>
      </c>
      <c r="B6" s="30" t="s">
        <v>209</v>
      </c>
      <c r="C6" s="34">
        <v>20898</v>
      </c>
      <c r="E6" s="35" t="s">
        <v>210</v>
      </c>
      <c r="F6" s="36"/>
    </row>
    <row r="7" spans="1:7">
      <c r="A7" s="30" t="s">
        <v>207</v>
      </c>
      <c r="B7" s="30" t="s">
        <v>211</v>
      </c>
      <c r="C7" s="34">
        <v>46994</v>
      </c>
    </row>
    <row r="8" spans="1:7" ht="15" thickBot="1">
      <c r="A8" s="30" t="s">
        <v>207</v>
      </c>
      <c r="B8" s="30" t="s">
        <v>212</v>
      </c>
      <c r="C8" s="34">
        <v>43695</v>
      </c>
      <c r="E8" s="35" t="s">
        <v>213</v>
      </c>
      <c r="F8" s="36"/>
    </row>
    <row r="9" spans="1:7">
      <c r="A9" s="30" t="s">
        <v>207</v>
      </c>
      <c r="B9" s="30" t="s">
        <v>214</v>
      </c>
      <c r="C9" s="34">
        <v>34196</v>
      </c>
    </row>
    <row r="10" spans="1:7">
      <c r="A10" s="30" t="s">
        <v>215</v>
      </c>
      <c r="B10" s="30" t="s">
        <v>208</v>
      </c>
      <c r="C10" s="34">
        <v>34155</v>
      </c>
    </row>
    <row r="11" spans="1:7" ht="15" thickBot="1">
      <c r="A11" s="30" t="s">
        <v>215</v>
      </c>
      <c r="B11" s="30" t="s">
        <v>209</v>
      </c>
      <c r="C11" s="34">
        <v>24396</v>
      </c>
      <c r="E11" s="32" t="s">
        <v>206</v>
      </c>
    </row>
    <row r="12" spans="1:7">
      <c r="A12" s="30" t="s">
        <v>215</v>
      </c>
      <c r="B12" s="30" t="s">
        <v>211</v>
      </c>
      <c r="C12" s="34">
        <v>29276</v>
      </c>
    </row>
    <row r="13" spans="1:7" ht="15" thickBot="1">
      <c r="A13" s="30" t="s">
        <v>215</v>
      </c>
      <c r="B13" s="30" t="s">
        <v>212</v>
      </c>
      <c r="C13" s="34">
        <v>45540</v>
      </c>
      <c r="E13" s="35" t="s">
        <v>216</v>
      </c>
      <c r="F13" s="36"/>
    </row>
    <row r="14" spans="1:7">
      <c r="A14" s="30" t="s">
        <v>215</v>
      </c>
      <c r="B14" s="30" t="s">
        <v>214</v>
      </c>
      <c r="C14" s="34">
        <v>29277</v>
      </c>
    </row>
    <row r="15" spans="1:7" ht="15" thickBot="1">
      <c r="A15" s="30" t="s">
        <v>217</v>
      </c>
      <c r="B15" s="30" t="s">
        <v>208</v>
      </c>
      <c r="C15" s="34">
        <v>44675</v>
      </c>
      <c r="E15" s="35" t="s">
        <v>218</v>
      </c>
      <c r="F15" s="36"/>
    </row>
    <row r="16" spans="1:7">
      <c r="A16" s="30" t="s">
        <v>217</v>
      </c>
      <c r="B16" s="30" t="s">
        <v>209</v>
      </c>
      <c r="C16" s="34">
        <v>42569</v>
      </c>
    </row>
    <row r="17" spans="1:3">
      <c r="A17" s="30" t="s">
        <v>217</v>
      </c>
      <c r="B17" s="30" t="s">
        <v>211</v>
      </c>
      <c r="C17" s="34">
        <v>43784</v>
      </c>
    </row>
    <row r="18" spans="1:3">
      <c r="A18" s="30" t="s">
        <v>217</v>
      </c>
      <c r="B18" s="30" t="s">
        <v>212</v>
      </c>
      <c r="C18" s="34">
        <v>46336</v>
      </c>
    </row>
    <row r="19" spans="1:3">
      <c r="A19" s="30" t="s">
        <v>217</v>
      </c>
      <c r="B19" s="30" t="s">
        <v>214</v>
      </c>
      <c r="C19" s="34">
        <v>49656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CEC6-52EC-4514-A60F-8E349D01B23B}">
  <sheetPr>
    <tabColor theme="2" tint="-0.249977111117893"/>
  </sheetPr>
  <dimension ref="A1:J18"/>
  <sheetViews>
    <sheetView zoomScale="115" zoomScaleNormal="115" workbookViewId="0">
      <selection activeCell="G19" sqref="G19"/>
    </sheetView>
  </sheetViews>
  <sheetFormatPr defaultColWidth="8.85546875" defaultRowHeight="14.45"/>
  <cols>
    <col min="1" max="1" width="2.85546875" style="30" customWidth="1"/>
    <col min="2" max="3" width="15.42578125" style="30" customWidth="1"/>
    <col min="4" max="4" width="11.5703125" style="30" customWidth="1"/>
    <col min="5" max="5" width="10.28515625" style="30" customWidth="1"/>
    <col min="6" max="6" width="8.85546875" style="30"/>
    <col min="7" max="7" width="19.7109375" style="30" bestFit="1" customWidth="1"/>
    <col min="8" max="8" width="12.5703125" style="30" bestFit="1" customWidth="1"/>
    <col min="9" max="16384" width="8.85546875" style="30"/>
  </cols>
  <sheetData>
    <row r="1" spans="1:10" customFormat="1" ht="18">
      <c r="A1" s="1" t="s">
        <v>219</v>
      </c>
      <c r="B1" s="1"/>
      <c r="C1" s="1"/>
      <c r="D1" s="1"/>
      <c r="E1" s="1"/>
      <c r="F1" s="1"/>
      <c r="G1" s="25"/>
    </row>
    <row r="2" spans="1:10" customFormat="1" ht="14.45" customHeight="1">
      <c r="A2" s="63"/>
      <c r="B2" s="63"/>
      <c r="C2" s="63"/>
      <c r="D2" s="63"/>
      <c r="E2" s="63"/>
      <c r="F2" s="63"/>
      <c r="G2" s="25"/>
    </row>
    <row r="3" spans="1:10" ht="15" thickBot="1">
      <c r="B3" s="31" t="s">
        <v>206</v>
      </c>
      <c r="C3" s="31" t="s">
        <v>94</v>
      </c>
      <c r="D3" s="31" t="s">
        <v>5</v>
      </c>
      <c r="E3" s="33" t="s">
        <v>220</v>
      </c>
      <c r="G3" s="37" t="s">
        <v>221</v>
      </c>
      <c r="H3" s="37" t="s">
        <v>222</v>
      </c>
      <c r="J3" s="33" t="s">
        <v>223</v>
      </c>
    </row>
    <row r="4" spans="1:10">
      <c r="B4" s="30" t="s">
        <v>207</v>
      </c>
      <c r="C4" s="30" t="s">
        <v>208</v>
      </c>
      <c r="D4" s="34">
        <v>44196</v>
      </c>
      <c r="G4" s="38" t="s">
        <v>224</v>
      </c>
      <c r="H4" s="38" t="s">
        <v>225</v>
      </c>
      <c r="J4" s="54" t="s">
        <v>226</v>
      </c>
    </row>
    <row r="5" spans="1:10">
      <c r="B5" s="30" t="s">
        <v>207</v>
      </c>
      <c r="C5" s="30" t="s">
        <v>209</v>
      </c>
      <c r="D5" s="34">
        <v>20898</v>
      </c>
      <c r="G5" s="38" t="s">
        <v>227</v>
      </c>
      <c r="H5" s="38" t="s">
        <v>228</v>
      </c>
    </row>
    <row r="6" spans="1:10">
      <c r="B6" s="30" t="s">
        <v>207</v>
      </c>
      <c r="C6" s="30" t="s">
        <v>211</v>
      </c>
      <c r="D6" s="34">
        <v>46994</v>
      </c>
      <c r="G6" s="38" t="s">
        <v>229</v>
      </c>
      <c r="H6" s="38" t="s">
        <v>230</v>
      </c>
    </row>
    <row r="7" spans="1:10">
      <c r="B7" s="30" t="s">
        <v>207</v>
      </c>
      <c r="C7" s="30" t="s">
        <v>212</v>
      </c>
      <c r="D7" s="34">
        <v>43695</v>
      </c>
      <c r="G7" s="38" t="s">
        <v>231</v>
      </c>
      <c r="H7" s="38" t="s">
        <v>232</v>
      </c>
    </row>
    <row r="8" spans="1:10">
      <c r="B8" s="30" t="s">
        <v>207</v>
      </c>
      <c r="C8" s="30" t="s">
        <v>214</v>
      </c>
      <c r="D8" s="34">
        <v>34196</v>
      </c>
      <c r="G8" s="38" t="s">
        <v>233</v>
      </c>
      <c r="H8" s="38" t="s">
        <v>234</v>
      </c>
    </row>
    <row r="9" spans="1:10">
      <c r="B9" s="30" t="s">
        <v>215</v>
      </c>
      <c r="C9" s="30" t="s">
        <v>208</v>
      </c>
      <c r="D9" s="34">
        <v>34155</v>
      </c>
    </row>
    <row r="10" spans="1:10">
      <c r="B10" s="30" t="s">
        <v>215</v>
      </c>
      <c r="C10" s="30" t="s">
        <v>209</v>
      </c>
      <c r="D10" s="34">
        <v>24396</v>
      </c>
    </row>
    <row r="11" spans="1:10">
      <c r="B11" s="30" t="s">
        <v>215</v>
      </c>
      <c r="C11" s="30" t="s">
        <v>211</v>
      </c>
      <c r="D11" s="34">
        <v>29276</v>
      </c>
    </row>
    <row r="12" spans="1:10">
      <c r="B12" s="30" t="s">
        <v>215</v>
      </c>
      <c r="C12" s="30" t="s">
        <v>212</v>
      </c>
      <c r="D12" s="34">
        <v>45540</v>
      </c>
    </row>
    <row r="13" spans="1:10">
      <c r="B13" s="30" t="s">
        <v>215</v>
      </c>
      <c r="C13" s="30" t="s">
        <v>214</v>
      </c>
      <c r="D13" s="34">
        <v>29277</v>
      </c>
    </row>
    <row r="14" spans="1:10">
      <c r="B14" s="30" t="s">
        <v>217</v>
      </c>
      <c r="C14" s="30" t="s">
        <v>208</v>
      </c>
      <c r="D14" s="34">
        <v>44675</v>
      </c>
    </row>
    <row r="15" spans="1:10">
      <c r="B15" s="30" t="s">
        <v>217</v>
      </c>
      <c r="C15" s="30" t="s">
        <v>209</v>
      </c>
      <c r="D15" s="34">
        <v>42569</v>
      </c>
    </row>
    <row r="16" spans="1:10">
      <c r="B16" s="30" t="s">
        <v>217</v>
      </c>
      <c r="C16" s="30" t="s">
        <v>211</v>
      </c>
      <c r="D16" s="34">
        <v>43784</v>
      </c>
    </row>
    <row r="17" spans="2:4">
      <c r="B17" s="30" t="s">
        <v>217</v>
      </c>
      <c r="C17" s="30" t="s">
        <v>212</v>
      </c>
      <c r="D17" s="34">
        <v>46336</v>
      </c>
    </row>
    <row r="18" spans="2:4">
      <c r="B18" s="30" t="s">
        <v>217</v>
      </c>
      <c r="C18" s="30" t="s">
        <v>214</v>
      </c>
      <c r="D18" s="34">
        <v>49656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6C47-4508-45A4-A478-F295C7C7FCA0}">
  <sheetPr>
    <tabColor theme="2" tint="-0.249977111117893"/>
  </sheetPr>
  <dimension ref="B2:J35"/>
  <sheetViews>
    <sheetView topLeftCell="A7" zoomScale="130" zoomScaleNormal="130" workbookViewId="0"/>
  </sheetViews>
  <sheetFormatPr defaultRowHeight="14.45"/>
  <cols>
    <col min="2" max="2" width="10.7109375" customWidth="1"/>
    <col min="4" max="4" width="11.7109375" style="40" customWidth="1"/>
    <col min="5" max="5" width="4.7109375" customWidth="1"/>
    <col min="6" max="6" width="11.7109375" style="40" customWidth="1"/>
    <col min="7" max="7" width="4.7109375" customWidth="1"/>
    <col min="8" max="8" width="11.7109375" style="40" customWidth="1"/>
    <col min="9" max="9" width="5.140625" customWidth="1"/>
    <col min="10" max="10" width="11.7109375" style="40" customWidth="1"/>
  </cols>
  <sheetData>
    <row r="2" spans="2:10">
      <c r="B2" s="39" t="s">
        <v>235</v>
      </c>
      <c r="D2" s="40" t="s">
        <v>236</v>
      </c>
      <c r="F2" s="40" t="s">
        <v>237</v>
      </c>
      <c r="H2" s="40" t="s">
        <v>238</v>
      </c>
    </row>
    <row r="3" spans="2:10">
      <c r="B3" t="s">
        <v>239</v>
      </c>
    </row>
    <row r="4" spans="2:10">
      <c r="B4" t="s">
        <v>240</v>
      </c>
    </row>
    <row r="5" spans="2:10">
      <c r="B5" t="s">
        <v>241</v>
      </c>
    </row>
    <row r="6" spans="2:10">
      <c r="B6" t="s">
        <v>242</v>
      </c>
    </row>
    <row r="9" spans="2:10">
      <c r="B9" s="39" t="s">
        <v>243</v>
      </c>
      <c r="D9" s="40" t="s">
        <v>236</v>
      </c>
      <c r="F9" s="40" t="s">
        <v>244</v>
      </c>
      <c r="H9" s="40" t="s">
        <v>237</v>
      </c>
      <c r="J9" s="40" t="s">
        <v>238</v>
      </c>
    </row>
    <row r="10" spans="2:10">
      <c r="B10" t="s">
        <v>239</v>
      </c>
      <c r="C10" t="s">
        <v>245</v>
      </c>
      <c r="D10" s="40" t="str" cm="1">
        <f t="array" ref="D10:D13">CONCATENATE(B10:B13,C10:C13)</f>
        <v>ThisI</v>
      </c>
    </row>
    <row r="11" spans="2:10">
      <c r="B11" t="s">
        <v>240</v>
      </c>
      <c r="C11" t="s">
        <v>246</v>
      </c>
      <c r="D11" s="40" t="str">
        <v>islove</v>
      </c>
    </row>
    <row r="12" spans="2:10">
      <c r="B12" t="s">
        <v>241</v>
      </c>
      <c r="C12" t="s">
        <v>247</v>
      </c>
      <c r="D12" s="40" t="str">
        <v>aMS</v>
      </c>
    </row>
    <row r="13" spans="2:10">
      <c r="B13" t="s">
        <v>242</v>
      </c>
      <c r="C13" t="s">
        <v>248</v>
      </c>
      <c r="D13" s="40" t="str">
        <v>sentenceExcel</v>
      </c>
    </row>
    <row r="15" spans="2:10">
      <c r="B15" s="41" t="s">
        <v>249</v>
      </c>
      <c r="F15" s="40" t="s">
        <v>250</v>
      </c>
    </row>
    <row r="16" spans="2:10">
      <c r="B16" t="s">
        <v>251</v>
      </c>
    </row>
    <row r="17" spans="2:2">
      <c r="B17" t="s">
        <v>252</v>
      </c>
    </row>
    <row r="18" spans="2:2">
      <c r="B18" t="s">
        <v>253</v>
      </c>
    </row>
    <row r="19" spans="2:2">
      <c r="B19" t="s">
        <v>254</v>
      </c>
    </row>
    <row r="20" spans="2:2">
      <c r="B20" t="s">
        <v>255</v>
      </c>
    </row>
    <row r="21" spans="2:2">
      <c r="B21" t="s">
        <v>256</v>
      </c>
    </row>
    <row r="22" spans="2:2">
      <c r="B22" t="s">
        <v>257</v>
      </c>
    </row>
    <row r="23" spans="2:2">
      <c r="B23" t="s">
        <v>258</v>
      </c>
    </row>
    <row r="24" spans="2:2">
      <c r="B24" t="s">
        <v>259</v>
      </c>
    </row>
    <row r="25" spans="2:2">
      <c r="B25" t="s">
        <v>260</v>
      </c>
    </row>
    <row r="26" spans="2:2">
      <c r="B26" t="s">
        <v>261</v>
      </c>
    </row>
    <row r="27" spans="2:2">
      <c r="B27" t="s">
        <v>262</v>
      </c>
    </row>
    <row r="28" spans="2:2">
      <c r="B28" t="s">
        <v>263</v>
      </c>
    </row>
    <row r="29" spans="2:2">
      <c r="B29" t="s">
        <v>264</v>
      </c>
    </row>
    <row r="30" spans="2:2">
      <c r="B30" t="s">
        <v>265</v>
      </c>
    </row>
    <row r="31" spans="2:2">
      <c r="B31" t="s">
        <v>266</v>
      </c>
    </row>
    <row r="32" spans="2:2">
      <c r="B32" t="s">
        <v>267</v>
      </c>
    </row>
    <row r="33" spans="2:2">
      <c r="B33" t="s">
        <v>268</v>
      </c>
    </row>
    <row r="34" spans="2:2">
      <c r="B34" t="s">
        <v>269</v>
      </c>
    </row>
    <row r="35" spans="2:2">
      <c r="B35" t="s">
        <v>270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F6BB-2FF2-4C57-8E6B-C99CEF5BC4B2}">
  <sheetPr codeName="Sheet1">
    <tabColor theme="2" tint="-0.249977111117893"/>
  </sheetPr>
  <dimension ref="A1:H22"/>
  <sheetViews>
    <sheetView workbookViewId="0"/>
  </sheetViews>
  <sheetFormatPr defaultRowHeight="14.45"/>
  <cols>
    <col min="4" max="4" width="17.28515625" customWidth="1"/>
    <col min="5" max="5" width="18.28515625" customWidth="1"/>
    <col min="8" max="8" width="15.5703125" customWidth="1"/>
  </cols>
  <sheetData>
    <row r="1" spans="1:8" ht="18">
      <c r="A1" s="1" t="s">
        <v>271</v>
      </c>
      <c r="B1" s="1"/>
      <c r="C1" s="1"/>
      <c r="D1" s="1"/>
      <c r="G1" s="25" t="s">
        <v>272</v>
      </c>
    </row>
    <row r="3" spans="1:8">
      <c r="A3" s="5" t="s">
        <v>273</v>
      </c>
    </row>
    <row r="5" spans="1:8">
      <c r="A5" s="5" t="s">
        <v>274</v>
      </c>
      <c r="E5" s="5" t="s">
        <v>275</v>
      </c>
    </row>
    <row r="7" spans="1:8">
      <c r="A7" s="10"/>
      <c r="E7" t="s">
        <v>27</v>
      </c>
      <c r="G7" s="12" t="s">
        <v>276</v>
      </c>
      <c r="H7" s="10"/>
    </row>
    <row r="8" spans="1:8">
      <c r="E8" t="s">
        <v>28</v>
      </c>
      <c r="G8" s="12" t="s">
        <v>276</v>
      </c>
    </row>
    <row r="9" spans="1:8">
      <c r="E9" t="s">
        <v>29</v>
      </c>
      <c r="G9" s="12" t="s">
        <v>276</v>
      </c>
    </row>
    <row r="10" spans="1:8">
      <c r="E10" t="s">
        <v>30</v>
      </c>
      <c r="G10" s="12" t="s">
        <v>276</v>
      </c>
    </row>
    <row r="11" spans="1:8">
      <c r="E11" t="s">
        <v>31</v>
      </c>
      <c r="G11" s="13" t="s">
        <v>277</v>
      </c>
    </row>
    <row r="12" spans="1:8">
      <c r="E12" t="s">
        <v>32</v>
      </c>
      <c r="G12" s="13" t="s">
        <v>277</v>
      </c>
    </row>
    <row r="13" spans="1:8">
      <c r="E13" t="s">
        <v>33</v>
      </c>
      <c r="G13" s="13" t="s">
        <v>277</v>
      </c>
    </row>
    <row r="14" spans="1:8">
      <c r="A14" s="5" t="s">
        <v>278</v>
      </c>
      <c r="E14" t="s">
        <v>34</v>
      </c>
      <c r="G14" s="13" t="s">
        <v>277</v>
      </c>
    </row>
    <row r="15" spans="1:8">
      <c r="E15" t="s">
        <v>35</v>
      </c>
      <c r="G15" s="14" t="s">
        <v>279</v>
      </c>
    </row>
    <row r="16" spans="1:8">
      <c r="A16" s="10"/>
      <c r="E16" t="s">
        <v>36</v>
      </c>
      <c r="G16" s="14" t="s">
        <v>279</v>
      </c>
    </row>
    <row r="17" spans="5:7">
      <c r="E17" t="s">
        <v>61</v>
      </c>
      <c r="G17" s="14" t="s">
        <v>279</v>
      </c>
    </row>
    <row r="18" spans="5:7">
      <c r="E18" t="s">
        <v>79</v>
      </c>
      <c r="G18" s="14" t="s">
        <v>279</v>
      </c>
    </row>
    <row r="19" spans="5:7">
      <c r="E19" t="s">
        <v>63</v>
      </c>
      <c r="G19" s="15" t="s">
        <v>280</v>
      </c>
    </row>
    <row r="20" spans="5:7">
      <c r="E20" t="s">
        <v>75</v>
      </c>
      <c r="G20" s="15" t="s">
        <v>280</v>
      </c>
    </row>
    <row r="21" spans="5:7">
      <c r="E21" t="s">
        <v>65</v>
      </c>
      <c r="G21" s="15" t="s">
        <v>280</v>
      </c>
    </row>
    <row r="22" spans="5:7">
      <c r="E22" t="s">
        <v>77</v>
      </c>
      <c r="G22" s="15" t="s">
        <v>280</v>
      </c>
    </row>
  </sheetData>
  <hyperlinks>
    <hyperlink ref="G1" location="back" display="INDEX" xr:uid="{B0EB71D6-957E-46A6-8A13-75C9368904F1}"/>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Jatan Shah</dc:creator>
  <cp:keywords/>
  <dc:description>Excel 2019 Webinar</dc:description>
  <cp:lastModifiedBy/>
  <cp:revision/>
  <dcterms:created xsi:type="dcterms:W3CDTF">2018-01-05T16:30:23Z</dcterms:created>
  <dcterms:modified xsi:type="dcterms:W3CDTF">2025-12-07T14:20:32Z</dcterms:modified>
  <cp:category/>
  <cp:contentStatus/>
</cp:coreProperties>
</file>